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saranich\Desktop\"/>
    </mc:Choice>
  </mc:AlternateContent>
  <xr:revisionPtr revIDLastSave="0" documentId="13_ncr:1_{D7880FDF-05D4-41DD-8984-04205413B83E}" xr6:coauthVersionLast="45" xr6:coauthVersionMax="45" xr10:uidLastSave="{00000000-0000-0000-0000-000000000000}"/>
  <bookViews>
    <workbookView xWindow="840" yWindow="1140" windowWidth="17010" windowHeight="11715" activeTab="1" xr2:uid="{5554447A-29BD-4661-B27C-FC8C1C3DF061}"/>
  </bookViews>
  <sheets>
    <sheet name="Walking" sheetId="1" r:id="rId1"/>
    <sheet name="Spinning" sheetId="3" r:id="rId2"/>
    <sheet name="BLANK" sheetId="4" r:id="rId3"/>
    <sheet name="tst" sheetId="7" r:id="rId4"/>
    <sheet name="MASTER" sheetId="6" r:id="rId5"/>
  </sheets>
  <definedNames>
    <definedName name="_xlnm._FilterDatabase" localSheetId="4" hidden="1">MASTER!$A$1:$G$179</definedName>
    <definedName name="DATE_20">MASTER!$A$2:$A$178</definedName>
    <definedName name="STEPS_20">MASTER!$C$2:$C$178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7" l="1"/>
  <c r="F2" i="7"/>
  <c r="E2" i="7"/>
  <c r="D2" i="7"/>
  <c r="C2" i="7"/>
  <c r="B41" i="1"/>
  <c r="B11" i="7"/>
  <c r="B10" i="7" l="1"/>
  <c r="H41" i="6" l="1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B2" i="7" a="1"/>
  <c r="B2" i="7" s="1"/>
  <c r="H4" i="6"/>
  <c r="H3" i="6"/>
  <c r="H2" i="6"/>
  <c r="E17" i="3"/>
  <c r="E16" i="3"/>
  <c r="E15" i="3"/>
  <c r="E14" i="3"/>
  <c r="E13" i="3"/>
  <c r="E12" i="3"/>
  <c r="E10" i="3"/>
  <c r="E9" i="3"/>
  <c r="E8" i="3"/>
  <c r="E7" i="3"/>
  <c r="E6" i="3"/>
  <c r="E5" i="3"/>
  <c r="E4" i="3"/>
  <c r="E3" i="3"/>
  <c r="E2" i="3"/>
  <c r="E11" i="3"/>
  <c r="C23" i="3"/>
  <c r="C22" i="3"/>
  <c r="C21" i="3"/>
  <c r="C19" i="3"/>
  <c r="B5" i="7" l="1" a="1"/>
  <c r="B5" i="7" s="1"/>
  <c r="C6" i="7" l="1"/>
  <c r="B3" i="7" a="1"/>
  <c r="B3" i="7" s="1"/>
  <c r="C3" i="7" a="1"/>
  <c r="C3" i="7" s="1"/>
  <c r="B4" i="7" a="1"/>
  <c r="B4" i="7" s="1"/>
  <c r="C4" i="7" a="1"/>
  <c r="C4" i="7" s="1"/>
  <c r="B6" i="7" l="1"/>
  <c r="E22" i="3"/>
  <c r="G23" i="3" l="1"/>
  <c r="G22" i="3"/>
  <c r="G21" i="3"/>
  <c r="F23" i="3"/>
  <c r="F22" i="3"/>
  <c r="F21" i="3"/>
  <c r="D23" i="3"/>
  <c r="D22" i="3"/>
  <c r="D21" i="3"/>
  <c r="A19" i="3"/>
  <c r="G19" i="3"/>
  <c r="F19" i="3"/>
  <c r="D19" i="3"/>
  <c r="E23" i="3" l="1"/>
  <c r="E21" i="3"/>
  <c r="E19" i="3"/>
  <c r="F211" i="1" l="1"/>
  <c r="H215" i="1"/>
  <c r="G215" i="1"/>
  <c r="F215" i="1"/>
  <c r="E215" i="1"/>
  <c r="D215" i="1"/>
  <c r="H214" i="1"/>
  <c r="G214" i="1"/>
  <c r="F214" i="1"/>
  <c r="E214" i="1"/>
  <c r="D214" i="1"/>
  <c r="H213" i="1"/>
  <c r="G213" i="1"/>
  <c r="F213" i="1"/>
  <c r="E213" i="1"/>
  <c r="D213" i="1"/>
  <c r="G211" i="1"/>
  <c r="E211" i="1"/>
  <c r="D211" i="1"/>
  <c r="B212" i="1"/>
  <c r="B211" i="1"/>
  <c r="B148" i="1" l="1"/>
  <c r="F147" i="1"/>
  <c r="G147" i="1" l="1"/>
  <c r="G44" i="1" l="1"/>
  <c r="F44" i="1"/>
  <c r="E44" i="1"/>
  <c r="D44" i="1"/>
  <c r="G43" i="1"/>
  <c r="F43" i="1"/>
  <c r="E43" i="1"/>
  <c r="D43" i="1"/>
  <c r="G42" i="1"/>
  <c r="F42" i="1"/>
  <c r="E42" i="1"/>
  <c r="D42" i="1"/>
  <c r="D149" i="1"/>
  <c r="G151" i="1"/>
  <c r="F151" i="1"/>
  <c r="E151" i="1"/>
  <c r="D151" i="1"/>
  <c r="G150" i="1"/>
  <c r="F150" i="1"/>
  <c r="E150" i="1"/>
  <c r="D150" i="1"/>
  <c r="G149" i="1"/>
  <c r="F149" i="1"/>
  <c r="E149" i="1"/>
  <c r="H42" i="1"/>
  <c r="H151" i="1" l="1"/>
  <c r="H150" i="1"/>
  <c r="H149" i="1"/>
  <c r="E147" i="1"/>
  <c r="D147" i="1"/>
  <c r="B147" i="1"/>
  <c r="F40" i="1" l="1"/>
  <c r="B40" i="1"/>
  <c r="D40" i="1" l="1"/>
  <c r="H44" i="1"/>
  <c r="H43" i="1"/>
  <c r="E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<sst xmlns="http://schemas.openxmlformats.org/spreadsheetml/2006/main" count="156" uniqueCount="55">
  <si>
    <t>DATE</t>
  </si>
  <si>
    <t>STEPS</t>
  </si>
  <si>
    <t>BPM</t>
  </si>
  <si>
    <t>AVG.</t>
  </si>
  <si>
    <t>MIN.</t>
  </si>
  <si>
    <t>MAX</t>
  </si>
  <si>
    <t>TIME</t>
  </si>
  <si>
    <t>MILES</t>
  </si>
  <si>
    <t>CALs</t>
  </si>
  <si>
    <t xml:space="preserve"> STEPS </t>
  </si>
  <si>
    <t xml:space="preserve"> MILES </t>
  </si>
  <si>
    <t xml:space="preserve"> TIME </t>
  </si>
  <si>
    <t xml:space="preserve"> CALs </t>
  </si>
  <si>
    <t xml:space="preserve"> BPM </t>
  </si>
  <si>
    <t>Coast Line</t>
  </si>
  <si>
    <t>#WALKS</t>
  </si>
  <si>
    <t>OCTOBER</t>
  </si>
  <si>
    <t>Sep</t>
  </si>
  <si>
    <t>Smoky Outside</t>
  </si>
  <si>
    <t>TOTALS</t>
  </si>
  <si>
    <t>October</t>
  </si>
  <si>
    <t>September</t>
  </si>
  <si>
    <t>#'s</t>
  </si>
  <si>
    <t>Days</t>
  </si>
  <si>
    <t>w/ coffee</t>
  </si>
  <si>
    <t>NOVEMBER</t>
  </si>
  <si>
    <t>DURATION</t>
  </si>
  <si>
    <t>RPM's</t>
  </si>
  <si>
    <t>DISTANCE</t>
  </si>
  <si>
    <t>HR</t>
  </si>
  <si>
    <t>CALS</t>
  </si>
  <si>
    <t>FORMULA</t>
  </si>
  <si>
    <t>SPINNING</t>
  </si>
  <si>
    <t>WALKING</t>
  </si>
  <si>
    <t>#Rides</t>
  </si>
  <si>
    <t>November</t>
  </si>
  <si>
    <t>END</t>
  </si>
  <si>
    <t>NOV</t>
  </si>
  <si>
    <t>OCT</t>
  </si>
  <si>
    <t>SEP</t>
  </si>
  <si>
    <t>DAYS</t>
  </si>
  <si>
    <t>MONTH</t>
  </si>
  <si>
    <t>NOTES</t>
  </si>
  <si>
    <t>count</t>
  </si>
  <si>
    <t>countif</t>
  </si>
  <si>
    <t>Date</t>
  </si>
  <si>
    <t>Activity</t>
  </si>
  <si>
    <t>Steps</t>
  </si>
  <si>
    <t>Distance</t>
  </si>
  <si>
    <t>Duration</t>
  </si>
  <si>
    <t>Calories</t>
  </si>
  <si>
    <t>Walk</t>
  </si>
  <si>
    <t>3:10PM</t>
  </si>
  <si>
    <t>11:56AM</t>
  </si>
  <si>
    <t>10:15AM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</si>
</sst>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mm\-dd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21" fontId="0" fillId="0" borderId="0" xfId="0" applyNumberFormat="1"/>
    <xf numFmtId="0" fontId="0" fillId="0" borderId="1" xfId="0" applyBorder="1"/>
    <xf numFmtId="3" fontId="0" fillId="0" borderId="1" xfId="0" applyNumberFormat="1" applyBorder="1"/>
    <xf numFmtId="21" fontId="0" fillId="0" borderId="1" xfId="0" applyNumberFormat="1" applyBorder="1"/>
    <xf numFmtId="0" fontId="2" fillId="2" borderId="1" xfId="0" applyFont="1" applyFill="1" applyBorder="1" applyAlignment="1">
      <alignment horizontal="center"/>
    </xf>
    <xf numFmtId="0" fontId="1" fillId="0" borderId="0" xfId="0" applyFont="1"/>
    <xf numFmtId="21" fontId="1" fillId="0" borderId="0" xfId="0" applyNumberFormat="1" applyFont="1"/>
    <xf numFmtId="3" fontId="1" fillId="0" borderId="0" xfId="0" applyNumberFormat="1" applyFont="1"/>
    <xf numFmtId="0" fontId="2" fillId="2" borderId="0" xfId="0" applyFont="1" applyFill="1" applyBorder="1" applyAlignment="1">
      <alignment horizontal="center"/>
    </xf>
    <xf numFmtId="0" fontId="0" fillId="0" borderId="1" xfId="0" applyFill="1" applyBorder="1"/>
    <xf numFmtId="0" fontId="2" fillId="2" borderId="2" xfId="0" applyFont="1" applyFill="1" applyBorder="1" applyAlignment="1">
      <alignment horizontal="center"/>
    </xf>
    <xf numFmtId="164" fontId="0" fillId="0" borderId="1" xfId="0" applyNumberFormat="1" applyBorder="1"/>
    <xf numFmtId="0" fontId="1" fillId="0" borderId="0" xfId="0" applyFont="1" applyAlignment="1">
      <alignment horizontal="center"/>
    </xf>
    <xf numFmtId="20" fontId="0" fillId="0" borderId="0" xfId="0" applyNumberFormat="1"/>
    <xf numFmtId="1" fontId="0" fillId="0" borderId="1" xfId="0" applyNumberFormat="1" applyFont="1" applyBorder="1"/>
    <xf numFmtId="2" fontId="0" fillId="0" borderId="1" xfId="0" applyNumberFormat="1" applyFont="1" applyBorder="1"/>
    <xf numFmtId="21" fontId="0" fillId="0" borderId="1" xfId="0" applyNumberFormat="1" applyFont="1" applyBorder="1"/>
    <xf numFmtId="3" fontId="0" fillId="0" borderId="1" xfId="0" applyNumberFormat="1" applyFont="1" applyBorder="1"/>
    <xf numFmtId="0" fontId="3" fillId="2" borderId="3" xfId="0" applyFont="1" applyFill="1" applyBorder="1" applyAlignment="1">
      <alignment horizontal="right"/>
    </xf>
    <xf numFmtId="3" fontId="0" fillId="0" borderId="4" xfId="0" applyNumberFormat="1" applyFont="1" applyBorder="1"/>
    <xf numFmtId="2" fontId="0" fillId="0" borderId="4" xfId="0" applyNumberFormat="1" applyFont="1" applyBorder="1"/>
    <xf numFmtId="21" fontId="0" fillId="0" borderId="4" xfId="0" applyNumberFormat="1" applyFont="1" applyBorder="1"/>
    <xf numFmtId="1" fontId="0" fillId="0" borderId="4" xfId="0" applyNumberFormat="1" applyFont="1" applyBorder="1"/>
    <xf numFmtId="0" fontId="4" fillId="2" borderId="5" xfId="0" applyFont="1" applyFill="1" applyBorder="1"/>
    <xf numFmtId="0" fontId="4" fillId="2" borderId="7" xfId="0" applyFont="1" applyFill="1" applyBorder="1"/>
    <xf numFmtId="0" fontId="3" fillId="2" borderId="8" xfId="0" applyFont="1" applyFill="1" applyBorder="1" applyAlignment="1">
      <alignment horizontal="right"/>
    </xf>
    <xf numFmtId="3" fontId="0" fillId="0" borderId="9" xfId="0" applyNumberFormat="1" applyFont="1" applyBorder="1"/>
    <xf numFmtId="2" fontId="0" fillId="0" borderId="9" xfId="0" applyNumberFormat="1" applyFont="1" applyBorder="1"/>
    <xf numFmtId="21" fontId="0" fillId="0" borderId="9" xfId="0" applyNumberFormat="1" applyFont="1" applyBorder="1"/>
    <xf numFmtId="1" fontId="0" fillId="0" borderId="9" xfId="0" applyNumberFormat="1" applyFont="1" applyBorder="1"/>
    <xf numFmtId="0" fontId="4" fillId="2" borderId="10" xfId="0" applyFont="1" applyFill="1" applyBorder="1"/>
    <xf numFmtId="0" fontId="3" fillId="2" borderId="6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46" fontId="1" fillId="0" borderId="0" xfId="0" applyNumberFormat="1" applyFont="1"/>
    <xf numFmtId="0" fontId="0" fillId="0" borderId="0" xfId="0" applyFill="1" applyBorder="1"/>
    <xf numFmtId="0" fontId="0" fillId="0" borderId="0" xfId="0" applyNumberFormat="1"/>
    <xf numFmtId="1" fontId="0" fillId="0" borderId="0" xfId="0" applyNumberFormat="1" applyBorder="1" applyAlignment="1">
      <alignment horizontal="center"/>
    </xf>
    <xf numFmtId="20" fontId="0" fillId="0" borderId="0" xfId="0" applyNumberFormat="1" applyBorder="1"/>
    <xf numFmtId="0" fontId="1" fillId="0" borderId="0" xfId="0" applyNumberFormat="1" applyFont="1"/>
    <xf numFmtId="0" fontId="0" fillId="0" borderId="0" xfId="0" applyNumberFormat="1" applyBorder="1"/>
    <xf numFmtId="3" fontId="0" fillId="0" borderId="0" xfId="0" applyNumberFormat="1" applyBorder="1"/>
    <xf numFmtId="46" fontId="0" fillId="0" borderId="0" xfId="0" applyNumberFormat="1" applyBorder="1"/>
    <xf numFmtId="0" fontId="3" fillId="2" borderId="0" xfId="0" applyFont="1" applyFill="1" applyAlignment="1">
      <alignment horizontal="center"/>
    </xf>
    <xf numFmtId="165" fontId="0" fillId="0" borderId="1" xfId="0" applyNumberFormat="1" applyBorder="1"/>
    <xf numFmtId="2" fontId="0" fillId="0" borderId="1" xfId="0" applyNumberFormat="1" applyBorder="1"/>
    <xf numFmtId="0" fontId="0" fillId="0" borderId="2" xfId="0" applyBorder="1"/>
    <xf numFmtId="0" fontId="0" fillId="0" borderId="1" xfId="0" quotePrefix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3" fontId="0" fillId="0" borderId="0" xfId="0" applyNumberFormat="1"/>
    <xf numFmtId="2" fontId="1" fillId="0" borderId="0" xfId="0" applyNumberFormat="1" applyFont="1"/>
    <xf numFmtId="2" fontId="0" fillId="0" borderId="4" xfId="0" applyNumberFormat="1" applyBorder="1"/>
    <xf numFmtId="2" fontId="0" fillId="0" borderId="9" xfId="0" applyNumberFormat="1" applyBorder="1"/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21" fontId="0" fillId="0" borderId="4" xfId="0" applyNumberFormat="1" applyBorder="1"/>
    <xf numFmtId="1" fontId="0" fillId="0" borderId="5" xfId="0" applyNumberFormat="1" applyFont="1" applyBorder="1"/>
    <xf numFmtId="1" fontId="0" fillId="0" borderId="7" xfId="0" applyNumberFormat="1" applyFont="1" applyBorder="1"/>
    <xf numFmtId="21" fontId="0" fillId="0" borderId="9" xfId="0" applyNumberFormat="1" applyBorder="1"/>
    <xf numFmtId="1" fontId="0" fillId="0" borderId="10" xfId="0" applyNumberFormat="1" applyFont="1" applyBorder="1"/>
    <xf numFmtId="21" fontId="1" fillId="0" borderId="0" xfId="0" applyNumberFormat="1" applyFont="1" applyBorder="1"/>
    <xf numFmtId="0" fontId="3" fillId="2" borderId="16" xfId="0" applyFont="1" applyFill="1" applyBorder="1"/>
    <xf numFmtId="0" fontId="3" fillId="2" borderId="17" xfId="0" applyFont="1" applyFill="1" applyBorder="1"/>
    <xf numFmtId="0" fontId="3" fillId="2" borderId="18" xfId="0" applyFont="1" applyFill="1" applyBorder="1"/>
    <xf numFmtId="0" fontId="0" fillId="0" borderId="0" xfId="0" quotePrefix="1"/>
    <xf numFmtId="0" fontId="0" fillId="0" borderId="0" xfId="0" applyFont="1"/>
    <xf numFmtId="4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28575</xdr:rowOff>
        </xdr:from>
        <xdr:to>
          <xdr:col>12</xdr:col>
          <xdr:colOff>19050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"TAGs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533400</xdr:colOff>
      <xdr:row>0</xdr:row>
      <xdr:rowOff>95250</xdr:rowOff>
    </xdr:from>
    <xdr:to>
      <xdr:col>15</xdr:col>
      <xdr:colOff>466200</xdr:colOff>
      <xdr:row>6</xdr:row>
      <xdr:rowOff>161774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0200" y="95250"/>
          <a:ext cx="4200000" cy="12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8FA69-A356-492E-AAF7-FB22C20095ED}">
  <sheetPr codeName="Sheet1"/>
  <dimension ref="A1:P215"/>
  <sheetViews>
    <sheetView workbookViewId="0">
      <pane ySplit="1" topLeftCell="A195" activePane="bottomLeft" state="frozen"/>
      <selection pane="bottomLeft" activeCell="H203" sqref="H203"/>
    </sheetView>
  </sheetViews>
  <sheetFormatPr defaultRowHeight="15" x14ac:dyDescent="0.25"/>
  <cols>
    <col min="1" max="1" width="5.28515625" customWidth="1"/>
    <col min="2" max="2" width="12" customWidth="1"/>
    <col min="3" max="3" width="5.5703125" style="35" bestFit="1" customWidth="1"/>
    <col min="4" max="4" width="7.5703125" bestFit="1" customWidth="1"/>
    <col min="5" max="5" width="7.140625" bestFit="1" customWidth="1"/>
    <col min="6" max="6" width="9.85546875" customWidth="1"/>
    <col min="7" max="8" width="6" bestFit="1" customWidth="1"/>
    <col min="9" max="9" width="5.5703125" bestFit="1" customWidth="1"/>
    <col min="10" max="10" width="15.140625" style="40" bestFit="1" customWidth="1"/>
    <col min="11" max="11" width="7.7109375" style="40" bestFit="1" customWidth="1"/>
    <col min="12" max="12" width="5.85546875" style="40" bestFit="1" customWidth="1"/>
    <col min="13" max="13" width="9.85546875" style="40" bestFit="1" customWidth="1"/>
    <col min="14" max="14" width="8.140625" style="40" bestFit="1" customWidth="1"/>
    <col min="15" max="16" width="9.140625" style="40"/>
  </cols>
  <sheetData>
    <row r="1" spans="1:8" ht="20.25" customHeight="1" x14ac:dyDescent="0.25">
      <c r="B1" s="5" t="s">
        <v>0</v>
      </c>
      <c r="C1" s="5" t="s">
        <v>22</v>
      </c>
      <c r="D1" s="5" t="s">
        <v>9</v>
      </c>
      <c r="E1" s="11" t="s">
        <v>10</v>
      </c>
      <c r="F1" s="5" t="s">
        <v>11</v>
      </c>
      <c r="G1" s="11" t="s">
        <v>12</v>
      </c>
      <c r="H1" s="9" t="s">
        <v>13</v>
      </c>
    </row>
    <row r="2" spans="1:8" x14ac:dyDescent="0.25">
      <c r="A2" t="s">
        <v>17</v>
      </c>
      <c r="B2" s="12">
        <v>44088</v>
      </c>
      <c r="C2" s="33">
        <v>1</v>
      </c>
      <c r="D2" s="3">
        <v>307</v>
      </c>
      <c r="E2" s="2">
        <v>0.14000000000000001</v>
      </c>
      <c r="F2" s="4">
        <v>2.673611111111111E-3</v>
      </c>
      <c r="G2" s="2">
        <v>25</v>
      </c>
      <c r="H2" s="2">
        <v>99</v>
      </c>
    </row>
    <row r="3" spans="1:8" x14ac:dyDescent="0.25">
      <c r="B3" s="12">
        <v>44091</v>
      </c>
      <c r="C3" s="33">
        <v>1</v>
      </c>
      <c r="D3" s="3">
        <v>584</v>
      </c>
      <c r="E3" s="2">
        <v>0.26</v>
      </c>
      <c r="F3" s="4">
        <v>4.386574074074074E-3</v>
      </c>
      <c r="G3" s="2">
        <v>48</v>
      </c>
      <c r="H3" s="2">
        <v>106</v>
      </c>
    </row>
    <row r="4" spans="1:8" x14ac:dyDescent="0.25">
      <c r="B4" s="12">
        <v>44091</v>
      </c>
      <c r="C4" s="33">
        <v>2</v>
      </c>
      <c r="D4" s="3">
        <v>829</v>
      </c>
      <c r="E4" s="2">
        <v>0.36</v>
      </c>
      <c r="F4" s="4">
        <v>6.0185185185185177E-3</v>
      </c>
      <c r="G4" s="2">
        <v>76</v>
      </c>
      <c r="H4" s="2">
        <v>111</v>
      </c>
    </row>
    <row r="5" spans="1:8" x14ac:dyDescent="0.25">
      <c r="B5" s="12">
        <v>44091</v>
      </c>
      <c r="C5" s="33">
        <v>3</v>
      </c>
      <c r="D5" s="3">
        <v>1153</v>
      </c>
      <c r="E5" s="2">
        <v>0.51</v>
      </c>
      <c r="F5" s="4">
        <v>8.2986111111111108E-3</v>
      </c>
      <c r="G5" s="2">
        <v>97</v>
      </c>
      <c r="H5" s="2">
        <v>109</v>
      </c>
    </row>
    <row r="6" spans="1:8" x14ac:dyDescent="0.25">
      <c r="B6" s="12">
        <v>44092</v>
      </c>
      <c r="C6" s="33">
        <v>1</v>
      </c>
      <c r="D6" s="3">
        <v>1808</v>
      </c>
      <c r="E6" s="2">
        <v>0.8</v>
      </c>
      <c r="F6" s="4">
        <v>1.2326388888888888E-2</v>
      </c>
      <c r="G6" s="2">
        <v>152</v>
      </c>
      <c r="H6" s="2">
        <v>111</v>
      </c>
    </row>
    <row r="7" spans="1:8" x14ac:dyDescent="0.25">
      <c r="B7" s="12">
        <v>44092</v>
      </c>
      <c r="C7" s="33">
        <v>2</v>
      </c>
      <c r="D7" s="3">
        <v>1058</v>
      </c>
      <c r="E7" s="2">
        <v>0.47</v>
      </c>
      <c r="F7" s="4">
        <v>7.743055555555556E-3</v>
      </c>
      <c r="G7" s="2">
        <v>94</v>
      </c>
      <c r="H7" s="2">
        <v>115</v>
      </c>
    </row>
    <row r="8" spans="1:8" x14ac:dyDescent="0.25">
      <c r="B8" s="12">
        <v>44092</v>
      </c>
      <c r="C8" s="33">
        <v>3</v>
      </c>
      <c r="D8" s="3">
        <v>1833</v>
      </c>
      <c r="E8" s="2">
        <v>0.81</v>
      </c>
      <c r="F8" s="4">
        <v>1.2349537037037039E-2</v>
      </c>
      <c r="G8" s="2">
        <v>151</v>
      </c>
      <c r="H8" s="2">
        <v>116</v>
      </c>
    </row>
    <row r="9" spans="1:8" x14ac:dyDescent="0.25">
      <c r="B9" s="12">
        <v>44093</v>
      </c>
      <c r="C9" s="33">
        <v>1</v>
      </c>
      <c r="D9" s="3">
        <v>3057</v>
      </c>
      <c r="E9" s="2">
        <v>1.34</v>
      </c>
      <c r="F9" s="4">
        <v>2.1412037037037035E-2</v>
      </c>
      <c r="G9" s="2">
        <v>250</v>
      </c>
      <c r="H9" s="2">
        <v>112</v>
      </c>
    </row>
    <row r="10" spans="1:8" x14ac:dyDescent="0.25">
      <c r="B10" s="12">
        <v>44094</v>
      </c>
      <c r="C10" s="33">
        <v>1</v>
      </c>
      <c r="D10" s="3">
        <v>4380</v>
      </c>
      <c r="E10" s="2">
        <v>1.93</v>
      </c>
      <c r="F10" s="4">
        <v>2.8888888888888891E-2</v>
      </c>
      <c r="G10" s="2">
        <v>360</v>
      </c>
      <c r="H10" s="2">
        <v>115</v>
      </c>
    </row>
    <row r="11" spans="1:8" x14ac:dyDescent="0.25">
      <c r="B11" s="12">
        <v>44094</v>
      </c>
      <c r="C11" s="33">
        <v>2</v>
      </c>
      <c r="D11" s="3">
        <v>4746</v>
      </c>
      <c r="E11" s="2">
        <v>2.36</v>
      </c>
      <c r="F11" s="4">
        <v>3.107638888888889E-2</v>
      </c>
      <c r="G11" s="2">
        <v>418</v>
      </c>
      <c r="H11" s="2">
        <v>121</v>
      </c>
    </row>
    <row r="12" spans="1:8" x14ac:dyDescent="0.25">
      <c r="B12" s="12">
        <v>44095</v>
      </c>
      <c r="C12" s="33">
        <v>1</v>
      </c>
      <c r="D12" s="3">
        <v>984</v>
      </c>
      <c r="E12" s="2">
        <v>0.43</v>
      </c>
      <c r="F12" s="4">
        <v>6.6550925925925935E-3</v>
      </c>
      <c r="G12" s="2">
        <v>81</v>
      </c>
      <c r="H12" s="2">
        <v>122</v>
      </c>
    </row>
    <row r="13" spans="1:8" x14ac:dyDescent="0.25">
      <c r="B13" s="12">
        <v>44095</v>
      </c>
      <c r="C13" s="33">
        <v>2</v>
      </c>
      <c r="D13" s="3">
        <v>1696</v>
      </c>
      <c r="E13" s="2">
        <v>0.74</v>
      </c>
      <c r="F13" s="4">
        <v>1.1863425925925925E-2</v>
      </c>
      <c r="G13" s="2">
        <v>161</v>
      </c>
      <c r="H13" s="10">
        <v>125</v>
      </c>
    </row>
    <row r="14" spans="1:8" x14ac:dyDescent="0.25">
      <c r="B14" s="12">
        <v>44095</v>
      </c>
      <c r="C14" s="33">
        <v>3</v>
      </c>
      <c r="D14" s="3">
        <v>1859</v>
      </c>
      <c r="E14" s="2">
        <v>0.81</v>
      </c>
      <c r="F14" s="4">
        <v>1.300925925925926E-2</v>
      </c>
      <c r="G14" s="2">
        <v>163</v>
      </c>
      <c r="H14" s="10">
        <v>118</v>
      </c>
    </row>
    <row r="15" spans="1:8" x14ac:dyDescent="0.25">
      <c r="B15" s="12">
        <v>44096</v>
      </c>
      <c r="C15" s="33">
        <v>1</v>
      </c>
      <c r="D15" s="3">
        <v>1659</v>
      </c>
      <c r="E15" s="2">
        <v>0.72</v>
      </c>
      <c r="F15" s="4">
        <v>1.1539351851851851E-2</v>
      </c>
      <c r="G15" s="2">
        <v>130</v>
      </c>
      <c r="H15" s="10">
        <v>112</v>
      </c>
    </row>
    <row r="16" spans="1:8" x14ac:dyDescent="0.25">
      <c r="B16" s="12">
        <v>44096</v>
      </c>
      <c r="C16" s="33">
        <v>2</v>
      </c>
      <c r="D16" s="3">
        <v>1245</v>
      </c>
      <c r="E16" s="2">
        <v>0.54</v>
      </c>
      <c r="F16" s="4">
        <v>8.8888888888888889E-3</v>
      </c>
      <c r="G16" s="2">
        <v>111</v>
      </c>
      <c r="H16" s="10">
        <v>117</v>
      </c>
    </row>
    <row r="17" spans="2:9" x14ac:dyDescent="0.25">
      <c r="B17" s="12">
        <v>44096</v>
      </c>
      <c r="C17" s="33">
        <v>3</v>
      </c>
      <c r="D17" s="3">
        <v>1346</v>
      </c>
      <c r="E17" s="2">
        <v>0.59</v>
      </c>
      <c r="F17" s="4">
        <v>9.4907407407407406E-3</v>
      </c>
      <c r="G17" s="2">
        <v>115</v>
      </c>
      <c r="H17" s="10">
        <v>119</v>
      </c>
    </row>
    <row r="18" spans="2:9" x14ac:dyDescent="0.25">
      <c r="B18" s="12">
        <v>44097</v>
      </c>
      <c r="C18" s="33">
        <v>1</v>
      </c>
      <c r="D18" s="3">
        <v>1099</v>
      </c>
      <c r="E18" s="2">
        <v>0.48</v>
      </c>
      <c r="F18" s="4">
        <v>7.789351851851852E-3</v>
      </c>
      <c r="G18" s="2">
        <v>88</v>
      </c>
      <c r="H18" s="10">
        <v>114</v>
      </c>
    </row>
    <row r="19" spans="2:9" x14ac:dyDescent="0.25">
      <c r="B19" s="12">
        <v>44097</v>
      </c>
      <c r="C19" s="33">
        <v>2</v>
      </c>
      <c r="D19" s="3">
        <v>2065</v>
      </c>
      <c r="E19" s="2">
        <v>0.9</v>
      </c>
      <c r="F19" s="4">
        <v>1.5208333333333332E-2</v>
      </c>
      <c r="G19" s="2">
        <v>185</v>
      </c>
      <c r="H19" s="10">
        <v>120</v>
      </c>
    </row>
    <row r="20" spans="2:9" x14ac:dyDescent="0.25">
      <c r="B20" s="12">
        <v>44097</v>
      </c>
      <c r="C20" s="33">
        <v>3</v>
      </c>
      <c r="D20" s="3">
        <v>1072</v>
      </c>
      <c r="E20" s="2">
        <v>0.49</v>
      </c>
      <c r="F20" s="4">
        <v>8.1481481481481474E-3</v>
      </c>
      <c r="G20" s="2">
        <v>88</v>
      </c>
      <c r="H20" s="10">
        <v>121</v>
      </c>
    </row>
    <row r="21" spans="2:9" x14ac:dyDescent="0.25">
      <c r="B21" s="12">
        <v>44098</v>
      </c>
      <c r="C21" s="33">
        <v>1</v>
      </c>
      <c r="D21" s="3">
        <v>1384</v>
      </c>
      <c r="E21" s="2">
        <v>0.61</v>
      </c>
      <c r="F21" s="4">
        <v>9.9189814814814817E-3</v>
      </c>
      <c r="G21" s="2">
        <v>107</v>
      </c>
      <c r="H21" s="10">
        <v>109</v>
      </c>
    </row>
    <row r="22" spans="2:9" x14ac:dyDescent="0.25">
      <c r="B22" s="12">
        <v>44098</v>
      </c>
      <c r="C22" s="33">
        <v>2</v>
      </c>
      <c r="D22" s="3">
        <v>1344</v>
      </c>
      <c r="E22" s="2">
        <v>0.59</v>
      </c>
      <c r="F22" s="4">
        <v>9.6643518518518511E-3</v>
      </c>
      <c r="G22" s="2">
        <v>110</v>
      </c>
      <c r="H22" s="10">
        <v>113</v>
      </c>
    </row>
    <row r="23" spans="2:9" x14ac:dyDescent="0.25">
      <c r="B23" s="12">
        <v>44099</v>
      </c>
      <c r="C23" s="33">
        <v>1</v>
      </c>
      <c r="D23" s="3">
        <v>1660</v>
      </c>
      <c r="E23" s="2">
        <v>0.73</v>
      </c>
      <c r="F23" s="4">
        <v>1.1631944444444445E-2</v>
      </c>
      <c r="G23" s="2">
        <v>133</v>
      </c>
      <c r="H23" s="10">
        <v>131</v>
      </c>
    </row>
    <row r="24" spans="2:9" x14ac:dyDescent="0.25">
      <c r="B24" s="12">
        <v>44099</v>
      </c>
      <c r="C24" s="33">
        <v>2</v>
      </c>
      <c r="D24" s="3">
        <v>1061</v>
      </c>
      <c r="E24" s="2">
        <v>0.46</v>
      </c>
      <c r="F24" s="4">
        <v>7.6851851851851847E-3</v>
      </c>
      <c r="G24" s="2">
        <v>88</v>
      </c>
      <c r="H24" s="10">
        <v>116</v>
      </c>
    </row>
    <row r="25" spans="2:9" x14ac:dyDescent="0.25">
      <c r="B25" s="12">
        <v>44099</v>
      </c>
      <c r="C25" s="33">
        <v>3</v>
      </c>
      <c r="D25" s="3">
        <v>1509</v>
      </c>
      <c r="E25" s="2">
        <v>0.66</v>
      </c>
      <c r="F25" s="4">
        <v>1.0497685185185186E-2</v>
      </c>
      <c r="G25" s="2">
        <v>114</v>
      </c>
      <c r="H25" s="10">
        <v>110</v>
      </c>
    </row>
    <row r="26" spans="2:9" x14ac:dyDescent="0.25">
      <c r="B26" s="12">
        <v>44100</v>
      </c>
      <c r="C26" s="33">
        <v>1</v>
      </c>
      <c r="D26" s="3">
        <v>2191</v>
      </c>
      <c r="E26" s="2"/>
      <c r="F26" s="4">
        <v>2.4305555555555556E-2</v>
      </c>
      <c r="G26" s="2">
        <v>223</v>
      </c>
      <c r="H26" s="10">
        <v>107</v>
      </c>
      <c r="I26" t="s">
        <v>14</v>
      </c>
    </row>
    <row r="27" spans="2:9" x14ac:dyDescent="0.25">
      <c r="B27" s="12">
        <v>44100</v>
      </c>
      <c r="C27" s="33">
        <v>2</v>
      </c>
      <c r="D27" s="3">
        <v>2052</v>
      </c>
      <c r="E27" s="2">
        <v>0.9</v>
      </c>
      <c r="F27" s="4">
        <v>1.4456018518518519E-2</v>
      </c>
      <c r="G27" s="2">
        <v>157</v>
      </c>
      <c r="H27" s="10">
        <v>108</v>
      </c>
    </row>
    <row r="28" spans="2:9" x14ac:dyDescent="0.25">
      <c r="B28" s="12">
        <v>44101</v>
      </c>
      <c r="C28" s="33">
        <v>1</v>
      </c>
      <c r="D28" s="3">
        <v>3349</v>
      </c>
      <c r="E28" s="2">
        <v>1.47</v>
      </c>
      <c r="F28" s="4">
        <v>2.2453703703703708E-2</v>
      </c>
      <c r="G28" s="2">
        <v>287</v>
      </c>
      <c r="H28" s="10">
        <v>122</v>
      </c>
    </row>
    <row r="29" spans="2:9" x14ac:dyDescent="0.25">
      <c r="B29" s="12">
        <v>44102</v>
      </c>
      <c r="C29" s="33">
        <v>1</v>
      </c>
      <c r="D29" s="3">
        <v>1344</v>
      </c>
      <c r="E29" s="2">
        <v>0.59</v>
      </c>
      <c r="F29" s="4">
        <v>9.6527777777777775E-3</v>
      </c>
      <c r="G29" s="2">
        <v>98</v>
      </c>
      <c r="H29" s="10">
        <v>113</v>
      </c>
    </row>
    <row r="30" spans="2:9" x14ac:dyDescent="0.25">
      <c r="B30" s="12">
        <v>44102</v>
      </c>
      <c r="C30" s="33">
        <v>2</v>
      </c>
      <c r="D30" s="3">
        <v>1322</v>
      </c>
      <c r="E30" s="2">
        <v>0.57999999999999996</v>
      </c>
      <c r="F30" s="4">
        <v>9.525462962962963E-3</v>
      </c>
      <c r="G30" s="2">
        <v>113</v>
      </c>
      <c r="H30" s="10">
        <v>120</v>
      </c>
    </row>
    <row r="31" spans="2:9" x14ac:dyDescent="0.25">
      <c r="B31" s="12">
        <v>44102</v>
      </c>
      <c r="C31" s="33">
        <v>3</v>
      </c>
      <c r="D31" s="3">
        <v>1139</v>
      </c>
      <c r="E31" s="2">
        <v>0.5</v>
      </c>
      <c r="F31" s="4">
        <v>8.6226851851851846E-3</v>
      </c>
      <c r="G31" s="2">
        <v>99</v>
      </c>
      <c r="H31" s="10">
        <v>117</v>
      </c>
    </row>
    <row r="32" spans="2:9" x14ac:dyDescent="0.25">
      <c r="B32" s="12">
        <v>44103</v>
      </c>
      <c r="C32" s="33">
        <v>1</v>
      </c>
      <c r="D32" s="3">
        <v>1368</v>
      </c>
      <c r="E32" s="2">
        <v>0.6</v>
      </c>
      <c r="F32" s="4">
        <v>1.0011574074074074E-2</v>
      </c>
      <c r="G32" s="2">
        <v>97</v>
      </c>
      <c r="H32" s="10">
        <v>100</v>
      </c>
    </row>
    <row r="33" spans="2:9" x14ac:dyDescent="0.25">
      <c r="B33" s="12">
        <v>44103</v>
      </c>
      <c r="C33" s="33">
        <v>2</v>
      </c>
      <c r="D33" s="3">
        <v>1269</v>
      </c>
      <c r="E33" s="2">
        <v>0.55000000000000004</v>
      </c>
      <c r="F33" s="4">
        <v>9.7569444444444448E-3</v>
      </c>
      <c r="G33" s="2">
        <v>104</v>
      </c>
      <c r="H33" s="10">
        <v>112</v>
      </c>
    </row>
    <row r="34" spans="2:9" x14ac:dyDescent="0.25">
      <c r="B34" s="12">
        <v>44103</v>
      </c>
      <c r="C34" s="33">
        <v>3</v>
      </c>
      <c r="D34" s="3">
        <v>1198</v>
      </c>
      <c r="E34" s="2">
        <v>0.53</v>
      </c>
      <c r="F34" s="4">
        <v>9.7222222222222224E-3</v>
      </c>
      <c r="G34" s="2">
        <v>100</v>
      </c>
      <c r="H34" s="10">
        <v>114</v>
      </c>
    </row>
    <row r="35" spans="2:9" x14ac:dyDescent="0.25">
      <c r="B35" s="12">
        <v>44104</v>
      </c>
      <c r="C35" s="33">
        <v>1</v>
      </c>
      <c r="D35" s="3">
        <v>1925</v>
      </c>
      <c r="E35" s="2">
        <v>0.84</v>
      </c>
      <c r="F35" s="4">
        <v>1.3668981481481482E-2</v>
      </c>
      <c r="G35" s="2">
        <v>144</v>
      </c>
      <c r="H35" s="10">
        <v>112</v>
      </c>
      <c r="I35" s="14"/>
    </row>
    <row r="36" spans="2:9" x14ac:dyDescent="0.25">
      <c r="B36" s="12">
        <v>44104</v>
      </c>
      <c r="C36" s="33">
        <v>2</v>
      </c>
      <c r="D36" s="3">
        <v>1795</v>
      </c>
      <c r="E36" s="2">
        <v>0.79</v>
      </c>
      <c r="F36" s="4">
        <v>1.3113425925925926E-2</v>
      </c>
      <c r="G36" s="2">
        <v>150</v>
      </c>
      <c r="H36" s="10">
        <v>115</v>
      </c>
      <c r="I36" s="14"/>
    </row>
    <row r="37" spans="2:9" x14ac:dyDescent="0.25">
      <c r="B37" s="12">
        <v>44104</v>
      </c>
      <c r="C37" s="33">
        <v>3</v>
      </c>
      <c r="D37" s="3">
        <v>1273</v>
      </c>
      <c r="E37" s="2">
        <v>0.55000000000000004</v>
      </c>
      <c r="F37" s="4">
        <v>1.2916666666666667E-2</v>
      </c>
      <c r="G37" s="2">
        <v>73</v>
      </c>
      <c r="H37" s="10">
        <v>86</v>
      </c>
      <c r="I37" s="14"/>
    </row>
    <row r="38" spans="2:9" x14ac:dyDescent="0.25">
      <c r="B38" s="12"/>
      <c r="C38" s="34"/>
      <c r="D38" s="3"/>
      <c r="E38" s="2"/>
      <c r="F38" s="4"/>
      <c r="G38" s="2"/>
      <c r="H38" s="2"/>
    </row>
    <row r="39" spans="2:9" x14ac:dyDescent="0.25">
      <c r="B39" s="5" t="s">
        <v>15</v>
      </c>
      <c r="C39" s="5"/>
      <c r="D39" s="5" t="s">
        <v>1</v>
      </c>
      <c r="E39" s="11" t="s">
        <v>7</v>
      </c>
      <c r="F39" s="5" t="s">
        <v>6</v>
      </c>
      <c r="G39" s="11" t="s">
        <v>8</v>
      </c>
      <c r="H39" s="9" t="s">
        <v>2</v>
      </c>
    </row>
    <row r="40" spans="2:9" x14ac:dyDescent="0.25">
      <c r="B40" s="13">
        <f>COUNT(B2:B38)</f>
        <v>36</v>
      </c>
      <c r="D40" s="8">
        <f>SUM(D2:D38)</f>
        <v>59963</v>
      </c>
      <c r="E40" s="6">
        <f>SUM(E2:E38)</f>
        <v>25.630000000000003</v>
      </c>
      <c r="F40" s="7">
        <f>SUM(F2:F38)</f>
        <v>0.43537037037037041</v>
      </c>
      <c r="G40" s="6">
        <f>SUM(G2:G38)</f>
        <v>4990</v>
      </c>
    </row>
    <row r="41" spans="2:9" ht="15.75" thickBot="1" x14ac:dyDescent="0.3">
      <c r="B41" s="13">
        <f>COUNT(_xlfn.UNIQUE(B2:B38))</f>
        <v>15</v>
      </c>
      <c r="C41" s="35" t="s">
        <v>23</v>
      </c>
      <c r="D41" s="8"/>
      <c r="E41" s="6"/>
      <c r="F41" s="7"/>
      <c r="G41" s="6"/>
    </row>
    <row r="42" spans="2:9" x14ac:dyDescent="0.25">
      <c r="B42" s="19"/>
      <c r="C42" s="36" t="s">
        <v>3</v>
      </c>
      <c r="D42" s="20">
        <f t="shared" ref="D42:G42" si="0">AVERAGE(D2:D38)</f>
        <v>1665.6388888888889</v>
      </c>
      <c r="E42" s="21">
        <f t="shared" si="0"/>
        <v>0.73228571428571432</v>
      </c>
      <c r="F42" s="22">
        <f t="shared" si="0"/>
        <v>1.2093621399176956E-2</v>
      </c>
      <c r="G42" s="23">
        <f t="shared" si="0"/>
        <v>138.61111111111111</v>
      </c>
      <c r="H42" s="23">
        <f>AVERAGE(H2:H38)</f>
        <v>113.55555555555556</v>
      </c>
      <c r="I42" s="24" t="s">
        <v>3</v>
      </c>
    </row>
    <row r="43" spans="2:9" x14ac:dyDescent="0.25">
      <c r="B43" s="32" t="s">
        <v>21</v>
      </c>
      <c r="C43" s="32" t="s">
        <v>4</v>
      </c>
      <c r="D43" s="18">
        <f t="shared" ref="D43:G43" si="1">MIN(D2:D38)</f>
        <v>307</v>
      </c>
      <c r="E43" s="16">
        <f t="shared" si="1"/>
        <v>0.14000000000000001</v>
      </c>
      <c r="F43" s="17">
        <f t="shared" si="1"/>
        <v>2.673611111111111E-3</v>
      </c>
      <c r="G43" s="15">
        <f t="shared" si="1"/>
        <v>25</v>
      </c>
      <c r="H43" s="15">
        <f>MIN(H2:H38)</f>
        <v>86</v>
      </c>
      <c r="I43" s="25" t="s">
        <v>4</v>
      </c>
    </row>
    <row r="44" spans="2:9" ht="15.75" thickBot="1" x14ac:dyDescent="0.3">
      <c r="B44" s="26"/>
      <c r="C44" s="37" t="s">
        <v>5</v>
      </c>
      <c r="D44" s="27">
        <f t="shared" ref="D44:G44" si="2">MAX(D2:D38)</f>
        <v>4746</v>
      </c>
      <c r="E44" s="28">
        <f t="shared" si="2"/>
        <v>2.36</v>
      </c>
      <c r="F44" s="29">
        <f t="shared" si="2"/>
        <v>3.107638888888889E-2</v>
      </c>
      <c r="G44" s="30">
        <f t="shared" si="2"/>
        <v>418</v>
      </c>
      <c r="H44" s="30">
        <f>MAX(H2:H38)</f>
        <v>131</v>
      </c>
      <c r="I44" s="31" t="s">
        <v>5</v>
      </c>
    </row>
    <row r="45" spans="2:9" x14ac:dyDescent="0.25">
      <c r="F45" s="1"/>
    </row>
    <row r="46" spans="2:9" x14ac:dyDescent="0.25">
      <c r="B46" t="s">
        <v>16</v>
      </c>
      <c r="F46" s="1"/>
    </row>
    <row r="47" spans="2:9" x14ac:dyDescent="0.25">
      <c r="B47" s="5" t="s">
        <v>0</v>
      </c>
      <c r="C47" s="5" t="s">
        <v>22</v>
      </c>
      <c r="D47" s="5" t="s">
        <v>9</v>
      </c>
      <c r="E47" s="11" t="s">
        <v>10</v>
      </c>
      <c r="F47" s="5" t="s">
        <v>11</v>
      </c>
      <c r="G47" s="11" t="s">
        <v>12</v>
      </c>
      <c r="H47" s="9" t="s">
        <v>13</v>
      </c>
    </row>
    <row r="48" spans="2:9" x14ac:dyDescent="0.25">
      <c r="B48" s="12">
        <v>44105</v>
      </c>
      <c r="C48" s="33">
        <v>1</v>
      </c>
      <c r="D48" s="3">
        <v>1274</v>
      </c>
      <c r="E48" s="2">
        <v>0.55000000000000004</v>
      </c>
      <c r="F48" s="4">
        <v>9.0856481481481483E-3</v>
      </c>
      <c r="G48" s="2">
        <v>102</v>
      </c>
      <c r="H48" s="10">
        <v>111</v>
      </c>
      <c r="I48" s="14"/>
    </row>
    <row r="49" spans="2:9" x14ac:dyDescent="0.25">
      <c r="B49" s="12">
        <v>44105</v>
      </c>
      <c r="C49" s="33">
        <v>2</v>
      </c>
      <c r="D49" s="3">
        <v>1732</v>
      </c>
      <c r="E49" s="2">
        <v>0.76</v>
      </c>
      <c r="F49" s="4">
        <v>1.1631944444444445E-2</v>
      </c>
      <c r="G49" s="2">
        <v>131</v>
      </c>
      <c r="H49" s="10">
        <v>110</v>
      </c>
      <c r="I49" s="14"/>
    </row>
    <row r="50" spans="2:9" x14ac:dyDescent="0.25">
      <c r="B50" s="12">
        <v>44105</v>
      </c>
      <c r="C50" s="33">
        <v>3</v>
      </c>
      <c r="D50" s="3">
        <v>1904</v>
      </c>
      <c r="E50" s="2">
        <v>0.83</v>
      </c>
      <c r="F50" s="4">
        <v>1.3090277777777779E-2</v>
      </c>
      <c r="G50" s="2">
        <v>146</v>
      </c>
      <c r="H50" s="10">
        <v>108</v>
      </c>
      <c r="I50" s="14"/>
    </row>
    <row r="51" spans="2:9" x14ac:dyDescent="0.25">
      <c r="B51" s="12">
        <v>44105</v>
      </c>
      <c r="C51" s="33">
        <v>4</v>
      </c>
      <c r="D51" s="3">
        <v>1758</v>
      </c>
      <c r="E51" s="2">
        <v>0.77</v>
      </c>
      <c r="F51" s="4">
        <v>1.2488425925925925E-2</v>
      </c>
      <c r="G51" s="2">
        <v>139</v>
      </c>
      <c r="H51" s="10">
        <v>115</v>
      </c>
      <c r="I51" t="s">
        <v>18</v>
      </c>
    </row>
    <row r="52" spans="2:9" x14ac:dyDescent="0.25">
      <c r="B52" s="12">
        <v>44106</v>
      </c>
      <c r="C52" s="33">
        <v>1</v>
      </c>
      <c r="D52" s="3">
        <v>1201</v>
      </c>
      <c r="E52" s="2">
        <v>0.52</v>
      </c>
      <c r="F52" s="4">
        <v>8.2291666666666659E-3</v>
      </c>
      <c r="G52" s="2">
        <v>95</v>
      </c>
      <c r="H52" s="10">
        <v>111</v>
      </c>
    </row>
    <row r="53" spans="2:9" x14ac:dyDescent="0.25">
      <c r="B53" s="12">
        <v>44106</v>
      </c>
      <c r="C53" s="33">
        <v>2</v>
      </c>
      <c r="D53" s="3">
        <v>1738</v>
      </c>
      <c r="E53" s="2">
        <v>0.76</v>
      </c>
      <c r="F53" s="4">
        <v>1.1759259259259259E-2</v>
      </c>
      <c r="G53" s="2">
        <v>120</v>
      </c>
      <c r="H53" s="10">
        <v>104</v>
      </c>
    </row>
    <row r="54" spans="2:9" x14ac:dyDescent="0.25">
      <c r="B54" s="12">
        <v>44106</v>
      </c>
      <c r="C54" s="33">
        <v>3</v>
      </c>
      <c r="D54" s="3">
        <v>3149</v>
      </c>
      <c r="E54" s="2">
        <v>1.38</v>
      </c>
      <c r="F54" s="4">
        <v>2.1701388888888892E-2</v>
      </c>
      <c r="G54" s="2">
        <v>248</v>
      </c>
      <c r="H54" s="10">
        <v>115</v>
      </c>
    </row>
    <row r="55" spans="2:9" x14ac:dyDescent="0.25">
      <c r="B55" s="12">
        <v>44106</v>
      </c>
      <c r="C55" s="33">
        <v>4</v>
      </c>
      <c r="D55" s="3">
        <v>1327</v>
      </c>
      <c r="E55" s="2">
        <v>0.63</v>
      </c>
      <c r="F55" s="4">
        <v>9.8032407407407408E-3</v>
      </c>
      <c r="G55" s="2">
        <v>76</v>
      </c>
      <c r="H55" s="10">
        <v>91</v>
      </c>
    </row>
    <row r="56" spans="2:9" x14ac:dyDescent="0.25">
      <c r="B56" s="12">
        <v>44107</v>
      </c>
      <c r="C56" s="33">
        <v>1</v>
      </c>
      <c r="D56" s="3">
        <v>5737</v>
      </c>
      <c r="E56" s="2">
        <v>2.5</v>
      </c>
      <c r="F56" s="4">
        <v>3.7199074074074072E-2</v>
      </c>
      <c r="G56" s="2">
        <v>427</v>
      </c>
      <c r="H56" s="10">
        <v>110</v>
      </c>
    </row>
    <row r="57" spans="2:9" x14ac:dyDescent="0.25">
      <c r="B57" s="12">
        <v>44108</v>
      </c>
      <c r="C57" s="33">
        <v>1</v>
      </c>
      <c r="D57" s="3">
        <v>3215</v>
      </c>
      <c r="E57" s="2">
        <v>1.41</v>
      </c>
      <c r="F57" s="4">
        <v>2.1319444444444443E-2</v>
      </c>
      <c r="G57" s="2">
        <v>264</v>
      </c>
      <c r="H57" s="10">
        <v>121</v>
      </c>
    </row>
    <row r="58" spans="2:9" x14ac:dyDescent="0.25">
      <c r="B58" s="12">
        <v>44109</v>
      </c>
      <c r="C58" s="33">
        <v>1</v>
      </c>
      <c r="D58" s="3">
        <v>1695</v>
      </c>
      <c r="E58" s="2">
        <v>0.75</v>
      </c>
      <c r="F58" s="4">
        <v>1.1666666666666667E-2</v>
      </c>
      <c r="G58" s="2">
        <v>128</v>
      </c>
      <c r="H58" s="10">
        <v>109</v>
      </c>
    </row>
    <row r="59" spans="2:9" x14ac:dyDescent="0.25">
      <c r="B59" s="12">
        <v>44109</v>
      </c>
      <c r="C59" s="33">
        <v>2</v>
      </c>
      <c r="D59" s="3">
        <v>1425</v>
      </c>
      <c r="E59" s="2">
        <v>0.62</v>
      </c>
      <c r="F59" s="4">
        <v>1.0300925925925927E-2</v>
      </c>
      <c r="G59" s="2">
        <v>108</v>
      </c>
      <c r="H59" s="10">
        <v>115</v>
      </c>
    </row>
    <row r="60" spans="2:9" x14ac:dyDescent="0.25">
      <c r="B60" s="12">
        <v>44109</v>
      </c>
      <c r="C60" s="33">
        <v>3</v>
      </c>
      <c r="D60" s="3">
        <v>2595</v>
      </c>
      <c r="E60" s="2">
        <v>1.1299999999999999</v>
      </c>
      <c r="F60" s="4">
        <v>1.8819444444444448E-2</v>
      </c>
      <c r="G60" s="2">
        <v>209</v>
      </c>
      <c r="H60" s="10">
        <v>115</v>
      </c>
    </row>
    <row r="61" spans="2:9" x14ac:dyDescent="0.25">
      <c r="B61" s="12">
        <v>44109</v>
      </c>
      <c r="C61" s="33">
        <v>4</v>
      </c>
      <c r="D61" s="3">
        <v>1435</v>
      </c>
      <c r="E61" s="2">
        <v>0.63</v>
      </c>
      <c r="F61" s="4">
        <v>1.0416666666666666E-2</v>
      </c>
      <c r="G61" s="2">
        <v>114</v>
      </c>
      <c r="H61" s="10">
        <v>119</v>
      </c>
    </row>
    <row r="62" spans="2:9" x14ac:dyDescent="0.25">
      <c r="B62" s="12">
        <v>44110</v>
      </c>
      <c r="C62" s="33">
        <v>1</v>
      </c>
      <c r="D62" s="3">
        <v>1228</v>
      </c>
      <c r="E62" s="2">
        <v>0.53</v>
      </c>
      <c r="F62" s="4">
        <v>8.9236111111111113E-3</v>
      </c>
      <c r="G62" s="2">
        <v>89</v>
      </c>
      <c r="H62" s="10">
        <v>109</v>
      </c>
    </row>
    <row r="63" spans="2:9" x14ac:dyDescent="0.25">
      <c r="B63" s="12">
        <v>44110</v>
      </c>
      <c r="C63" s="33">
        <v>2</v>
      </c>
      <c r="D63" s="3">
        <v>1424</v>
      </c>
      <c r="E63" s="2">
        <v>0.62</v>
      </c>
      <c r="F63" s="4">
        <v>1.0833333333333334E-2</v>
      </c>
      <c r="G63" s="2">
        <v>112</v>
      </c>
      <c r="H63" s="10">
        <v>106</v>
      </c>
    </row>
    <row r="64" spans="2:9" x14ac:dyDescent="0.25">
      <c r="B64" s="12">
        <v>44110</v>
      </c>
      <c r="C64" s="33">
        <v>3</v>
      </c>
      <c r="D64" s="3">
        <v>2632</v>
      </c>
      <c r="E64" s="2">
        <v>1.1499999999999999</v>
      </c>
      <c r="F64" s="4">
        <v>1.9375E-2</v>
      </c>
      <c r="G64" s="2">
        <v>211</v>
      </c>
      <c r="H64" s="10">
        <v>112</v>
      </c>
    </row>
    <row r="65" spans="2:8" x14ac:dyDescent="0.25">
      <c r="B65" s="12">
        <v>44110</v>
      </c>
      <c r="C65" s="33">
        <v>4</v>
      </c>
      <c r="D65" s="3">
        <v>1469</v>
      </c>
      <c r="E65" s="2">
        <v>0.65</v>
      </c>
      <c r="F65" s="4">
        <v>1.0567129629629629E-2</v>
      </c>
      <c r="G65" s="2">
        <v>114</v>
      </c>
      <c r="H65" s="10">
        <v>118</v>
      </c>
    </row>
    <row r="66" spans="2:8" x14ac:dyDescent="0.25">
      <c r="B66" s="12">
        <v>44111</v>
      </c>
      <c r="C66" s="33">
        <v>1</v>
      </c>
      <c r="D66" s="3">
        <v>1415</v>
      </c>
      <c r="E66" s="2">
        <v>0.62</v>
      </c>
      <c r="F66" s="4">
        <v>1.0208333333333333E-2</v>
      </c>
      <c r="G66" s="2">
        <v>111</v>
      </c>
      <c r="H66" s="10">
        <v>109</v>
      </c>
    </row>
    <row r="67" spans="2:8" x14ac:dyDescent="0.25">
      <c r="B67" s="12">
        <v>44111</v>
      </c>
      <c r="C67" s="33">
        <v>2</v>
      </c>
      <c r="D67" s="3">
        <v>1622</v>
      </c>
      <c r="E67" s="2">
        <v>0.71</v>
      </c>
      <c r="F67" s="4">
        <v>1.1087962962962964E-2</v>
      </c>
      <c r="G67" s="2">
        <v>113</v>
      </c>
      <c r="H67" s="10">
        <v>106</v>
      </c>
    </row>
    <row r="68" spans="2:8" x14ac:dyDescent="0.25">
      <c r="B68" s="12">
        <v>44111</v>
      </c>
      <c r="C68" s="33">
        <v>3</v>
      </c>
      <c r="D68" s="3">
        <v>3091</v>
      </c>
      <c r="E68" s="2">
        <v>1.35</v>
      </c>
      <c r="F68" s="4">
        <v>2.1759259259259259E-2</v>
      </c>
      <c r="G68" s="2">
        <v>235</v>
      </c>
      <c r="H68" s="10">
        <v>110</v>
      </c>
    </row>
    <row r="69" spans="2:8" x14ac:dyDescent="0.25">
      <c r="B69" s="12">
        <v>44111</v>
      </c>
      <c r="C69" s="33">
        <v>4</v>
      </c>
      <c r="D69" s="3">
        <v>1640</v>
      </c>
      <c r="E69" s="2">
        <v>0.72</v>
      </c>
      <c r="F69" s="4">
        <v>1.1724537037037035E-2</v>
      </c>
      <c r="G69" s="2">
        <v>127</v>
      </c>
      <c r="H69" s="10">
        <v>115</v>
      </c>
    </row>
    <row r="70" spans="2:8" x14ac:dyDescent="0.25">
      <c r="B70" s="12">
        <v>44112</v>
      </c>
      <c r="C70" s="33">
        <v>1</v>
      </c>
      <c r="D70" s="3">
        <v>2061</v>
      </c>
      <c r="E70" s="2">
        <v>0.9</v>
      </c>
      <c r="F70" s="4">
        <v>1.4791666666666668E-2</v>
      </c>
      <c r="G70" s="2">
        <v>154</v>
      </c>
      <c r="H70" s="10">
        <v>105</v>
      </c>
    </row>
    <row r="71" spans="2:8" ht="15" customHeight="1" x14ac:dyDescent="0.25">
      <c r="B71" s="12">
        <v>44112</v>
      </c>
      <c r="C71" s="33">
        <v>2</v>
      </c>
      <c r="D71" s="3">
        <v>1722</v>
      </c>
      <c r="E71" s="2">
        <v>0.76</v>
      </c>
      <c r="F71" s="4">
        <v>1.1851851851851851E-2</v>
      </c>
      <c r="G71" s="2">
        <v>124</v>
      </c>
      <c r="H71" s="10">
        <v>104</v>
      </c>
    </row>
    <row r="72" spans="2:8" x14ac:dyDescent="0.25">
      <c r="B72" s="12">
        <v>44112</v>
      </c>
      <c r="C72" s="33">
        <v>3</v>
      </c>
      <c r="D72" s="3">
        <v>4169</v>
      </c>
      <c r="E72" s="2">
        <v>1.83</v>
      </c>
      <c r="F72" s="4">
        <v>2.8402777777777777E-2</v>
      </c>
      <c r="G72" s="2">
        <v>320</v>
      </c>
      <c r="H72" s="10">
        <v>112</v>
      </c>
    </row>
    <row r="73" spans="2:8" x14ac:dyDescent="0.25">
      <c r="B73" s="12">
        <v>44112</v>
      </c>
      <c r="C73" s="33">
        <v>4</v>
      </c>
      <c r="D73" s="3">
        <v>1626</v>
      </c>
      <c r="E73" s="2">
        <v>0.71</v>
      </c>
      <c r="F73" s="4">
        <v>1.1562499999999998E-2</v>
      </c>
      <c r="G73" s="2">
        <v>132</v>
      </c>
      <c r="H73" s="10">
        <v>114</v>
      </c>
    </row>
    <row r="74" spans="2:8" x14ac:dyDescent="0.25">
      <c r="B74" s="12">
        <v>44112</v>
      </c>
      <c r="C74" s="33">
        <v>5</v>
      </c>
      <c r="D74" s="3">
        <v>3048</v>
      </c>
      <c r="E74" s="2">
        <v>1.17</v>
      </c>
      <c r="F74" s="4">
        <v>2.7777777777777776E-2</v>
      </c>
      <c r="G74" s="2">
        <v>429</v>
      </c>
      <c r="H74" s="10">
        <v>98</v>
      </c>
    </row>
    <row r="75" spans="2:8" x14ac:dyDescent="0.25">
      <c r="B75" s="12">
        <v>44113</v>
      </c>
      <c r="C75" s="33">
        <v>1</v>
      </c>
      <c r="D75" s="3">
        <v>1816</v>
      </c>
      <c r="E75" s="2">
        <v>0.8</v>
      </c>
      <c r="F75" s="4">
        <v>1.2870370370370372E-2</v>
      </c>
      <c r="G75" s="2">
        <v>144</v>
      </c>
      <c r="H75" s="10">
        <v>109</v>
      </c>
    </row>
    <row r="76" spans="2:8" x14ac:dyDescent="0.25">
      <c r="B76" s="12">
        <v>44113</v>
      </c>
      <c r="C76" s="33">
        <v>2</v>
      </c>
      <c r="D76" s="3">
        <v>1661</v>
      </c>
      <c r="E76" s="2">
        <v>0.73</v>
      </c>
      <c r="F76" s="4">
        <v>1.1284722222222222E-2</v>
      </c>
      <c r="G76" s="2">
        <v>129</v>
      </c>
      <c r="H76" s="10">
        <v>108</v>
      </c>
    </row>
    <row r="77" spans="2:8" x14ac:dyDescent="0.25">
      <c r="B77" s="12">
        <v>44113</v>
      </c>
      <c r="C77" s="33">
        <v>3</v>
      </c>
      <c r="D77" s="3">
        <v>2656</v>
      </c>
      <c r="E77" s="2">
        <v>1.1599999999999999</v>
      </c>
      <c r="F77" s="4">
        <v>1.832175925925926E-2</v>
      </c>
      <c r="G77" s="2">
        <v>200</v>
      </c>
      <c r="H77" s="10">
        <v>108</v>
      </c>
    </row>
    <row r="78" spans="2:8" x14ac:dyDescent="0.25">
      <c r="B78" s="12">
        <v>44113</v>
      </c>
      <c r="C78" s="33">
        <v>4</v>
      </c>
      <c r="D78" s="3">
        <v>1663</v>
      </c>
      <c r="E78" s="2">
        <v>0.73</v>
      </c>
      <c r="F78" s="4">
        <v>1.1967592592592592E-2</v>
      </c>
      <c r="G78" s="2">
        <v>129</v>
      </c>
      <c r="H78" s="10">
        <v>110</v>
      </c>
    </row>
    <row r="79" spans="2:8" x14ac:dyDescent="0.25">
      <c r="B79" s="12">
        <v>44114</v>
      </c>
      <c r="C79" s="33">
        <v>1</v>
      </c>
      <c r="D79" s="3">
        <v>517</v>
      </c>
      <c r="E79" s="2">
        <v>2.2599999999999998</v>
      </c>
      <c r="F79" s="4">
        <v>3.3587962962962965E-2</v>
      </c>
      <c r="G79" s="2">
        <v>395</v>
      </c>
      <c r="H79" s="10">
        <v>111</v>
      </c>
    </row>
    <row r="80" spans="2:8" x14ac:dyDescent="0.25">
      <c r="B80" s="12">
        <v>44115</v>
      </c>
      <c r="C80" s="33">
        <v>1</v>
      </c>
      <c r="D80" s="3">
        <v>5397</v>
      </c>
      <c r="E80" s="2">
        <v>2.4</v>
      </c>
      <c r="F80" s="4">
        <v>3.667824074074074E-2</v>
      </c>
      <c r="G80" s="2">
        <v>411</v>
      </c>
      <c r="H80" s="10">
        <v>110</v>
      </c>
    </row>
    <row r="81" spans="2:14" x14ac:dyDescent="0.25">
      <c r="B81" s="12">
        <v>44117</v>
      </c>
      <c r="C81" s="33">
        <v>1</v>
      </c>
      <c r="D81" s="3">
        <v>1812</v>
      </c>
      <c r="E81" s="2">
        <v>0.79</v>
      </c>
      <c r="F81" s="4">
        <v>1.2789351851851852E-2</v>
      </c>
      <c r="G81" s="2">
        <v>132</v>
      </c>
      <c r="H81" s="10">
        <v>104</v>
      </c>
    </row>
    <row r="82" spans="2:14" x14ac:dyDescent="0.25">
      <c r="B82" s="12">
        <v>44117</v>
      </c>
      <c r="C82" s="33">
        <v>2</v>
      </c>
      <c r="D82" s="3">
        <v>1607</v>
      </c>
      <c r="E82" s="2">
        <v>0.7</v>
      </c>
      <c r="F82" s="4">
        <v>1.1412037037037038E-2</v>
      </c>
      <c r="G82" s="2">
        <v>122</v>
      </c>
      <c r="H82" s="10">
        <v>108</v>
      </c>
    </row>
    <row r="83" spans="2:14" x14ac:dyDescent="0.25">
      <c r="B83" s="12">
        <v>44117</v>
      </c>
      <c r="C83" s="33">
        <v>3</v>
      </c>
      <c r="D83" s="3">
        <v>2894</v>
      </c>
      <c r="E83" s="2">
        <v>1.26</v>
      </c>
      <c r="F83" s="4">
        <v>2.1203703703703707E-2</v>
      </c>
      <c r="G83" s="2">
        <v>238</v>
      </c>
      <c r="H83" s="10">
        <v>114</v>
      </c>
    </row>
    <row r="84" spans="2:14" x14ac:dyDescent="0.25">
      <c r="B84" s="12">
        <v>44117</v>
      </c>
      <c r="C84" s="33">
        <v>4</v>
      </c>
      <c r="D84" s="3">
        <v>1449</v>
      </c>
      <c r="E84" s="2">
        <v>0.63</v>
      </c>
      <c r="F84" s="4">
        <v>1.9641203703703706E-2</v>
      </c>
      <c r="G84" s="2">
        <v>132</v>
      </c>
      <c r="H84" s="10">
        <v>98</v>
      </c>
    </row>
    <row r="85" spans="2:14" x14ac:dyDescent="0.25">
      <c r="B85" s="12">
        <v>44118</v>
      </c>
      <c r="C85" s="33">
        <v>1</v>
      </c>
      <c r="D85" s="3">
        <v>1991</v>
      </c>
      <c r="E85" s="2">
        <v>0.87</v>
      </c>
      <c r="F85" s="4">
        <v>1.4780092592592595E-2</v>
      </c>
      <c r="G85" s="2">
        <v>150</v>
      </c>
      <c r="H85" s="10">
        <v>106</v>
      </c>
    </row>
    <row r="86" spans="2:14" x14ac:dyDescent="0.25">
      <c r="B86" s="12">
        <v>44118</v>
      </c>
      <c r="C86" s="33">
        <v>2</v>
      </c>
      <c r="D86" s="3">
        <v>1616</v>
      </c>
      <c r="E86" s="2">
        <v>0.71</v>
      </c>
      <c r="F86" s="4">
        <v>1.1782407407407406E-2</v>
      </c>
      <c r="G86" s="2">
        <v>119</v>
      </c>
      <c r="H86" s="10">
        <v>107</v>
      </c>
    </row>
    <row r="87" spans="2:14" x14ac:dyDescent="0.25">
      <c r="B87" s="12">
        <v>44118</v>
      </c>
      <c r="C87" s="33">
        <v>3</v>
      </c>
      <c r="D87" s="3">
        <v>2622</v>
      </c>
      <c r="E87" s="2">
        <v>1.1499999999999999</v>
      </c>
      <c r="F87" s="4">
        <v>1.9479166666666669E-2</v>
      </c>
      <c r="G87" s="2">
        <v>203</v>
      </c>
      <c r="H87" s="10">
        <v>107</v>
      </c>
    </row>
    <row r="88" spans="2:14" x14ac:dyDescent="0.25">
      <c r="B88" s="12">
        <v>44118</v>
      </c>
      <c r="C88" s="33">
        <v>4</v>
      </c>
      <c r="D88" s="3">
        <v>1475</v>
      </c>
      <c r="E88" s="2">
        <v>0.65</v>
      </c>
      <c r="F88" s="4">
        <v>1.045138888888889E-2</v>
      </c>
      <c r="G88" s="2">
        <v>112</v>
      </c>
      <c r="H88" s="10">
        <v>113</v>
      </c>
      <c r="J88" s="43"/>
      <c r="K88" s="43"/>
      <c r="L88" s="43"/>
      <c r="M88" s="43"/>
      <c r="N88" s="43"/>
    </row>
    <row r="89" spans="2:14" x14ac:dyDescent="0.25">
      <c r="B89" s="12">
        <v>44119</v>
      </c>
      <c r="C89" s="33">
        <v>1</v>
      </c>
      <c r="D89" s="3">
        <v>2301</v>
      </c>
      <c r="E89" s="2">
        <v>1.01</v>
      </c>
      <c r="F89" s="4">
        <v>1.5590277777777778E-2</v>
      </c>
      <c r="G89" s="2">
        <v>173</v>
      </c>
      <c r="H89" s="10">
        <v>106</v>
      </c>
    </row>
    <row r="90" spans="2:14" x14ac:dyDescent="0.25">
      <c r="B90" s="12">
        <v>44119</v>
      </c>
      <c r="C90" s="33">
        <v>2</v>
      </c>
      <c r="D90" s="3">
        <v>1673</v>
      </c>
      <c r="E90" s="2">
        <v>0.74</v>
      </c>
      <c r="F90" s="4">
        <v>1.1828703703703704E-2</v>
      </c>
      <c r="G90" s="2">
        <v>121</v>
      </c>
      <c r="H90" s="10">
        <v>103</v>
      </c>
    </row>
    <row r="91" spans="2:14" x14ac:dyDescent="0.25">
      <c r="B91" s="12">
        <v>44119</v>
      </c>
      <c r="C91" s="33">
        <v>3</v>
      </c>
      <c r="D91" s="3">
        <v>2692</v>
      </c>
      <c r="E91" s="2">
        <v>1.17</v>
      </c>
      <c r="F91" s="4">
        <v>1.9247685185185184E-2</v>
      </c>
      <c r="G91" s="2">
        <v>221</v>
      </c>
      <c r="H91" s="10">
        <v>112</v>
      </c>
    </row>
    <row r="92" spans="2:14" x14ac:dyDescent="0.25">
      <c r="B92" s="12">
        <v>44119</v>
      </c>
      <c r="C92" s="33">
        <v>4</v>
      </c>
      <c r="D92" s="3">
        <v>1683</v>
      </c>
      <c r="E92" s="2">
        <v>0.74</v>
      </c>
      <c r="F92" s="4">
        <v>1.1712962962962965E-2</v>
      </c>
      <c r="G92" s="2">
        <v>129</v>
      </c>
      <c r="H92" s="10">
        <v>112</v>
      </c>
    </row>
    <row r="93" spans="2:14" x14ac:dyDescent="0.25">
      <c r="B93" s="12">
        <v>44120</v>
      </c>
      <c r="C93" s="33">
        <v>1</v>
      </c>
      <c r="D93" s="3">
        <v>1902</v>
      </c>
      <c r="E93" s="2">
        <v>0.84</v>
      </c>
      <c r="F93" s="4">
        <v>1.3032407407407407E-2</v>
      </c>
      <c r="G93" s="2">
        <v>145</v>
      </c>
      <c r="H93" s="10">
        <v>107</v>
      </c>
    </row>
    <row r="94" spans="2:14" x14ac:dyDescent="0.25">
      <c r="B94" s="12">
        <v>44120</v>
      </c>
      <c r="C94" s="33">
        <v>2</v>
      </c>
      <c r="D94" s="3">
        <v>1636</v>
      </c>
      <c r="E94" s="2">
        <v>0.72</v>
      </c>
      <c r="F94" s="4">
        <v>1.1400462962962965E-2</v>
      </c>
      <c r="G94" s="2">
        <v>115</v>
      </c>
      <c r="H94" s="10">
        <v>104</v>
      </c>
    </row>
    <row r="95" spans="2:14" x14ac:dyDescent="0.25">
      <c r="B95" s="12">
        <v>44120</v>
      </c>
      <c r="C95" s="33">
        <v>3</v>
      </c>
      <c r="D95" s="3">
        <v>2659</v>
      </c>
      <c r="E95" s="2">
        <v>1.1599999999999999</v>
      </c>
      <c r="F95" s="4">
        <v>1.8634259259259257E-2</v>
      </c>
      <c r="G95" s="2">
        <v>211</v>
      </c>
      <c r="H95" s="10">
        <v>108</v>
      </c>
    </row>
    <row r="96" spans="2:14" x14ac:dyDescent="0.25">
      <c r="B96" s="12">
        <v>44120</v>
      </c>
      <c r="C96" s="33">
        <v>4</v>
      </c>
      <c r="D96" s="3">
        <v>1454</v>
      </c>
      <c r="E96" s="2">
        <v>0.64</v>
      </c>
      <c r="F96" s="4">
        <v>1.0590277777777777E-2</v>
      </c>
      <c r="G96" s="2">
        <v>116</v>
      </c>
      <c r="H96" s="10">
        <v>112</v>
      </c>
    </row>
    <row r="97" spans="2:8" x14ac:dyDescent="0.25">
      <c r="B97" s="12">
        <v>44121</v>
      </c>
      <c r="C97" s="33">
        <v>1</v>
      </c>
      <c r="D97" s="3">
        <v>5086</v>
      </c>
      <c r="E97" s="2">
        <v>2.25</v>
      </c>
      <c r="F97" s="4">
        <v>3.3125000000000002E-2</v>
      </c>
      <c r="G97" s="2">
        <v>388</v>
      </c>
      <c r="H97" s="10">
        <v>113</v>
      </c>
    </row>
    <row r="98" spans="2:8" x14ac:dyDescent="0.25">
      <c r="B98" s="12">
        <v>44122</v>
      </c>
      <c r="C98" s="33">
        <v>1</v>
      </c>
      <c r="D98" s="3">
        <v>2968</v>
      </c>
      <c r="E98" s="2">
        <v>1.3</v>
      </c>
      <c r="F98" s="4">
        <v>2.1203703703703707E-2</v>
      </c>
      <c r="G98" s="2">
        <v>214</v>
      </c>
      <c r="H98" s="10">
        <v>100</v>
      </c>
    </row>
    <row r="99" spans="2:8" x14ac:dyDescent="0.25">
      <c r="B99" s="12">
        <v>44122</v>
      </c>
      <c r="C99" s="33">
        <v>2</v>
      </c>
      <c r="D99" s="3">
        <v>5210</v>
      </c>
      <c r="E99" s="2">
        <v>2.2799999999999998</v>
      </c>
      <c r="F99" s="4">
        <v>3.4814814814814812E-2</v>
      </c>
      <c r="G99" s="2">
        <v>378</v>
      </c>
      <c r="H99" s="10">
        <v>105</v>
      </c>
    </row>
    <row r="100" spans="2:8" x14ac:dyDescent="0.25">
      <c r="B100" s="12">
        <v>44123</v>
      </c>
      <c r="C100" s="33">
        <v>1</v>
      </c>
      <c r="D100" s="3">
        <v>1811</v>
      </c>
      <c r="E100" s="2">
        <v>0.8</v>
      </c>
      <c r="F100" s="4">
        <v>1.2800925925925926E-2</v>
      </c>
      <c r="G100" s="2">
        <v>132</v>
      </c>
      <c r="H100" s="10">
        <v>106</v>
      </c>
    </row>
    <row r="101" spans="2:8" x14ac:dyDescent="0.25">
      <c r="B101" s="12">
        <v>44123</v>
      </c>
      <c r="C101" s="33">
        <v>2</v>
      </c>
      <c r="D101" s="3">
        <v>1600</v>
      </c>
      <c r="E101" s="2">
        <v>0.7</v>
      </c>
      <c r="F101" s="4">
        <v>1.1064814814814814E-2</v>
      </c>
      <c r="G101" s="2">
        <v>119</v>
      </c>
      <c r="H101" s="10">
        <v>104</v>
      </c>
    </row>
    <row r="102" spans="2:8" x14ac:dyDescent="0.25">
      <c r="B102" s="12">
        <v>44123</v>
      </c>
      <c r="C102" s="33">
        <v>3</v>
      </c>
      <c r="D102" s="3">
        <v>2617</v>
      </c>
      <c r="E102" s="2">
        <v>1.1499999999999999</v>
      </c>
      <c r="F102" s="4">
        <v>1.8819444444444448E-2</v>
      </c>
      <c r="G102" s="2">
        <v>205</v>
      </c>
      <c r="H102" s="10">
        <v>106</v>
      </c>
    </row>
    <row r="103" spans="2:8" x14ac:dyDescent="0.25">
      <c r="B103" s="12">
        <v>44123</v>
      </c>
      <c r="C103" s="33">
        <v>4</v>
      </c>
      <c r="D103" s="3">
        <v>1423</v>
      </c>
      <c r="E103" s="2">
        <v>0.62</v>
      </c>
      <c r="F103" s="4">
        <v>1.03125E-2</v>
      </c>
      <c r="G103" s="2">
        <v>114</v>
      </c>
      <c r="H103" s="10">
        <v>109</v>
      </c>
    </row>
    <row r="104" spans="2:8" x14ac:dyDescent="0.25">
      <c r="B104" s="12">
        <v>44124</v>
      </c>
      <c r="C104" s="33">
        <v>1</v>
      </c>
      <c r="D104" s="3">
        <v>2392</v>
      </c>
      <c r="E104" s="2">
        <v>1.04</v>
      </c>
      <c r="F104" s="4">
        <v>1.6863425925925928E-2</v>
      </c>
      <c r="G104" s="2">
        <v>183</v>
      </c>
      <c r="H104" s="10">
        <v>105</v>
      </c>
    </row>
    <row r="105" spans="2:8" x14ac:dyDescent="0.25">
      <c r="B105" s="12">
        <v>44124</v>
      </c>
      <c r="C105" s="33">
        <v>2</v>
      </c>
      <c r="D105" s="3">
        <v>1617</v>
      </c>
      <c r="E105" s="2">
        <v>0.71</v>
      </c>
      <c r="F105" s="4">
        <v>1.1284722222222222E-2</v>
      </c>
      <c r="G105" s="2">
        <v>119</v>
      </c>
      <c r="H105" s="10">
        <v>103</v>
      </c>
    </row>
    <row r="106" spans="2:8" x14ac:dyDescent="0.25">
      <c r="B106" s="12">
        <v>44124</v>
      </c>
      <c r="C106" s="33">
        <v>3</v>
      </c>
      <c r="D106" s="3">
        <v>2638</v>
      </c>
      <c r="E106" s="2">
        <v>1.1599999999999999</v>
      </c>
      <c r="F106" s="4">
        <v>1.9131944444444444E-2</v>
      </c>
      <c r="G106" s="2">
        <v>208</v>
      </c>
      <c r="H106" s="10">
        <v>104</v>
      </c>
    </row>
    <row r="107" spans="2:8" x14ac:dyDescent="0.25">
      <c r="B107" s="12">
        <v>44124</v>
      </c>
      <c r="C107" s="33">
        <v>4</v>
      </c>
      <c r="D107" s="3">
        <v>1421</v>
      </c>
      <c r="E107" s="2">
        <v>0.63</v>
      </c>
      <c r="F107" s="4">
        <v>1.0208333333333333E-2</v>
      </c>
      <c r="G107" s="2">
        <v>109</v>
      </c>
      <c r="H107" s="10">
        <v>107</v>
      </c>
    </row>
    <row r="108" spans="2:8" x14ac:dyDescent="0.25">
      <c r="B108" s="12">
        <v>44125</v>
      </c>
      <c r="C108" s="33">
        <v>1</v>
      </c>
      <c r="D108" s="3">
        <v>2846</v>
      </c>
      <c r="E108" s="2">
        <v>1.25</v>
      </c>
      <c r="F108" s="4">
        <v>1.982638888888889E-2</v>
      </c>
      <c r="G108" s="2">
        <v>212</v>
      </c>
      <c r="H108" s="10">
        <v>104</v>
      </c>
    </row>
    <row r="109" spans="2:8" x14ac:dyDescent="0.25">
      <c r="B109" s="12">
        <v>44125</v>
      </c>
      <c r="C109" s="33">
        <v>2</v>
      </c>
      <c r="D109" s="3">
        <v>1630</v>
      </c>
      <c r="E109" s="2">
        <v>0.71</v>
      </c>
      <c r="F109" s="4">
        <v>1.1504629629629629E-2</v>
      </c>
      <c r="G109" s="2">
        <v>123</v>
      </c>
      <c r="H109" s="10">
        <v>107</v>
      </c>
    </row>
    <row r="110" spans="2:8" x14ac:dyDescent="0.25">
      <c r="B110" s="12">
        <v>44125</v>
      </c>
      <c r="C110" s="33">
        <v>3</v>
      </c>
      <c r="D110" s="3">
        <v>2624</v>
      </c>
      <c r="E110" s="2">
        <v>1.1499999999999999</v>
      </c>
      <c r="F110" s="4">
        <v>1.9421296296296294E-2</v>
      </c>
      <c r="G110" s="2">
        <v>217</v>
      </c>
      <c r="H110" s="10">
        <v>109</v>
      </c>
    </row>
    <row r="111" spans="2:8" x14ac:dyDescent="0.25">
      <c r="B111" s="12">
        <v>44125</v>
      </c>
      <c r="C111" s="33">
        <v>4</v>
      </c>
      <c r="D111" s="3">
        <v>1654</v>
      </c>
      <c r="E111" s="2">
        <v>0.73</v>
      </c>
      <c r="F111" s="4">
        <v>1.1724537037037035E-2</v>
      </c>
      <c r="G111" s="2">
        <v>126</v>
      </c>
      <c r="H111" s="10">
        <v>109</v>
      </c>
    </row>
    <row r="112" spans="2:8" x14ac:dyDescent="0.25">
      <c r="B112" s="12">
        <v>44126</v>
      </c>
      <c r="C112" s="33">
        <v>1</v>
      </c>
      <c r="D112" s="3">
        <v>2976</v>
      </c>
      <c r="E112" s="2">
        <v>1.3</v>
      </c>
      <c r="F112" s="4">
        <v>2.0196759259259258E-2</v>
      </c>
      <c r="G112" s="2">
        <v>227</v>
      </c>
      <c r="H112" s="10">
        <v>107</v>
      </c>
    </row>
    <row r="113" spans="2:9" x14ac:dyDescent="0.25">
      <c r="B113" s="12">
        <v>44126</v>
      </c>
      <c r="C113" s="33">
        <v>2</v>
      </c>
      <c r="D113" s="3">
        <v>1631</v>
      </c>
      <c r="E113" s="2">
        <v>0.71</v>
      </c>
      <c r="F113" s="4">
        <v>1.1145833333333334E-2</v>
      </c>
      <c r="G113" s="2">
        <v>124</v>
      </c>
      <c r="H113" s="10">
        <v>108</v>
      </c>
    </row>
    <row r="114" spans="2:9" x14ac:dyDescent="0.25">
      <c r="B114" s="12">
        <v>44126</v>
      </c>
      <c r="C114" s="33">
        <v>3</v>
      </c>
      <c r="D114" s="3">
        <v>3079</v>
      </c>
      <c r="E114" s="2">
        <v>1.34</v>
      </c>
      <c r="F114" s="4">
        <v>2.1180555555555553E-2</v>
      </c>
      <c r="G114" s="2">
        <v>234</v>
      </c>
      <c r="H114" s="10">
        <v>106</v>
      </c>
    </row>
    <row r="115" spans="2:9" x14ac:dyDescent="0.25">
      <c r="B115" s="12">
        <v>44126</v>
      </c>
      <c r="C115" s="33">
        <v>4</v>
      </c>
      <c r="D115" s="3">
        <v>1435</v>
      </c>
      <c r="E115" s="2">
        <v>0.63</v>
      </c>
      <c r="F115" s="4">
        <v>1.0358796296296295E-2</v>
      </c>
      <c r="G115" s="2">
        <v>110</v>
      </c>
      <c r="H115" s="10">
        <v>104</v>
      </c>
    </row>
    <row r="116" spans="2:9" x14ac:dyDescent="0.25">
      <c r="B116" s="12">
        <v>44127</v>
      </c>
      <c r="C116" s="33">
        <v>1</v>
      </c>
      <c r="D116" s="3">
        <v>1877</v>
      </c>
      <c r="E116" s="2">
        <v>0.82</v>
      </c>
      <c r="F116" s="4">
        <v>1.2673611111111109E-2</v>
      </c>
      <c r="G116" s="2">
        <v>139</v>
      </c>
      <c r="H116" s="10">
        <v>104</v>
      </c>
    </row>
    <row r="117" spans="2:9" x14ac:dyDescent="0.25">
      <c r="B117" s="12">
        <v>44127</v>
      </c>
      <c r="C117" s="33">
        <v>2</v>
      </c>
      <c r="D117" s="3">
        <v>1628</v>
      </c>
      <c r="E117" s="2">
        <v>0.71</v>
      </c>
      <c r="F117" s="4">
        <v>1.1111111111111112E-2</v>
      </c>
      <c r="G117" s="2">
        <v>116</v>
      </c>
      <c r="H117" s="10">
        <v>102</v>
      </c>
    </row>
    <row r="118" spans="2:9" x14ac:dyDescent="0.25">
      <c r="B118" s="12">
        <v>44127</v>
      </c>
      <c r="C118" s="33">
        <v>3</v>
      </c>
      <c r="D118" s="3">
        <v>2644</v>
      </c>
      <c r="E118" s="2">
        <v>1.1499999999999999</v>
      </c>
      <c r="F118" s="4">
        <v>1.8402777777777778E-2</v>
      </c>
      <c r="G118" s="2">
        <v>201</v>
      </c>
      <c r="H118" s="10">
        <v>106</v>
      </c>
    </row>
    <row r="119" spans="2:9" x14ac:dyDescent="0.25">
      <c r="B119" s="12">
        <v>44127</v>
      </c>
      <c r="C119" s="33">
        <v>4</v>
      </c>
      <c r="D119" s="3">
        <v>1609</v>
      </c>
      <c r="E119" s="2">
        <v>0.7</v>
      </c>
      <c r="F119" s="4">
        <v>1.1284722222222222E-2</v>
      </c>
      <c r="G119" s="2">
        <v>116</v>
      </c>
      <c r="H119" s="10">
        <v>105</v>
      </c>
    </row>
    <row r="120" spans="2:9" x14ac:dyDescent="0.25">
      <c r="B120" s="12">
        <v>44128</v>
      </c>
      <c r="C120" s="33">
        <v>1</v>
      </c>
      <c r="D120" s="3">
        <v>5048</v>
      </c>
      <c r="E120" s="2">
        <v>2.2200000000000002</v>
      </c>
      <c r="F120" s="4">
        <v>3.2685185185185185E-2</v>
      </c>
      <c r="G120" s="2">
        <v>378</v>
      </c>
      <c r="H120" s="10">
        <v>110</v>
      </c>
    </row>
    <row r="121" spans="2:9" x14ac:dyDescent="0.25">
      <c r="B121" s="12">
        <v>44128</v>
      </c>
      <c r="C121" s="33">
        <v>2</v>
      </c>
      <c r="D121" s="3">
        <v>3108</v>
      </c>
      <c r="E121" s="2">
        <v>1.36</v>
      </c>
      <c r="F121" s="4">
        <v>2.0648148148148148E-2</v>
      </c>
      <c r="G121" s="2">
        <v>235</v>
      </c>
      <c r="H121" s="10">
        <v>107</v>
      </c>
    </row>
    <row r="122" spans="2:9" x14ac:dyDescent="0.25">
      <c r="B122" s="12">
        <v>44129</v>
      </c>
      <c r="C122" s="33">
        <v>1</v>
      </c>
      <c r="D122" s="3">
        <v>5461</v>
      </c>
      <c r="E122" s="2">
        <v>2.4</v>
      </c>
      <c r="F122" s="4">
        <v>3.5069444444444445E-2</v>
      </c>
      <c r="G122" s="2">
        <v>411</v>
      </c>
      <c r="H122" s="10">
        <v>110</v>
      </c>
    </row>
    <row r="123" spans="2:9" x14ac:dyDescent="0.25">
      <c r="B123" s="12">
        <v>44129</v>
      </c>
      <c r="C123" s="33">
        <v>2</v>
      </c>
      <c r="D123" s="3">
        <v>5423</v>
      </c>
      <c r="E123" s="2">
        <v>2.38</v>
      </c>
      <c r="F123" s="4">
        <v>3.5370370370370365E-2</v>
      </c>
      <c r="G123" s="2">
        <v>418</v>
      </c>
      <c r="H123" s="10">
        <v>113</v>
      </c>
    </row>
    <row r="124" spans="2:9" x14ac:dyDescent="0.25">
      <c r="B124" s="12">
        <v>44130</v>
      </c>
      <c r="C124" s="33">
        <v>1</v>
      </c>
      <c r="D124" s="3">
        <v>1855</v>
      </c>
      <c r="E124" s="2">
        <v>0.81</v>
      </c>
      <c r="F124" s="4">
        <v>1.3402777777777777E-2</v>
      </c>
      <c r="G124" s="2">
        <v>143</v>
      </c>
      <c r="H124" s="10">
        <v>106</v>
      </c>
      <c r="I124" t="s">
        <v>24</v>
      </c>
    </row>
    <row r="125" spans="2:9" x14ac:dyDescent="0.25">
      <c r="B125" s="12">
        <v>44130</v>
      </c>
      <c r="C125" s="33">
        <v>2</v>
      </c>
      <c r="D125" s="3">
        <v>1620</v>
      </c>
      <c r="E125" s="2">
        <v>0.72</v>
      </c>
      <c r="F125" s="4">
        <v>1.1168981481481481E-2</v>
      </c>
      <c r="G125" s="2">
        <v>115</v>
      </c>
      <c r="H125" s="10">
        <v>106</v>
      </c>
    </row>
    <row r="126" spans="2:9" x14ac:dyDescent="0.25">
      <c r="B126" s="12">
        <v>44130</v>
      </c>
      <c r="C126" s="33">
        <v>3</v>
      </c>
      <c r="D126" s="3">
        <v>2536</v>
      </c>
      <c r="E126" s="2">
        <v>1.1000000000000001</v>
      </c>
      <c r="F126" s="4">
        <v>1.8622685185185183E-2</v>
      </c>
      <c r="G126" s="2">
        <v>209</v>
      </c>
      <c r="H126" s="10">
        <v>112</v>
      </c>
    </row>
    <row r="127" spans="2:9" x14ac:dyDescent="0.25">
      <c r="B127" s="12">
        <v>44130</v>
      </c>
      <c r="C127" s="33">
        <v>4</v>
      </c>
      <c r="D127" s="3">
        <v>1426</v>
      </c>
      <c r="E127" s="2">
        <v>0.62</v>
      </c>
      <c r="F127" s="4">
        <v>1.0416666666666666E-2</v>
      </c>
      <c r="G127" s="2">
        <v>109</v>
      </c>
      <c r="H127" s="10">
        <v>106</v>
      </c>
    </row>
    <row r="128" spans="2:9" x14ac:dyDescent="0.25">
      <c r="B128" s="12">
        <v>44131</v>
      </c>
      <c r="C128" s="33">
        <v>1</v>
      </c>
      <c r="D128" s="3">
        <v>2704</v>
      </c>
      <c r="E128" s="2">
        <v>1.18</v>
      </c>
      <c r="F128" s="4">
        <v>1.9398148148148147E-2</v>
      </c>
      <c r="G128" s="2">
        <v>211</v>
      </c>
      <c r="H128" s="10">
        <v>109</v>
      </c>
      <c r="I128" t="s">
        <v>24</v>
      </c>
    </row>
    <row r="129" spans="2:9" x14ac:dyDescent="0.25">
      <c r="B129" s="12">
        <v>44131</v>
      </c>
      <c r="C129" s="33">
        <v>2</v>
      </c>
      <c r="D129" s="3">
        <v>1792</v>
      </c>
      <c r="E129" s="2">
        <v>0.78</v>
      </c>
      <c r="F129" s="4">
        <v>1.2106481481481482E-2</v>
      </c>
      <c r="G129" s="2">
        <v>150</v>
      </c>
      <c r="H129" s="10">
        <v>116</v>
      </c>
    </row>
    <row r="130" spans="2:9" x14ac:dyDescent="0.25">
      <c r="B130" s="12">
        <v>44131</v>
      </c>
      <c r="C130" s="33">
        <v>3</v>
      </c>
      <c r="D130" s="3">
        <v>2547</v>
      </c>
      <c r="E130" s="2">
        <v>1.1200000000000001</v>
      </c>
      <c r="F130" s="4">
        <v>1.7997685185185186E-2</v>
      </c>
      <c r="G130" s="2">
        <v>207</v>
      </c>
      <c r="H130" s="10">
        <v>112</v>
      </c>
    </row>
    <row r="131" spans="2:9" x14ac:dyDescent="0.25">
      <c r="B131" s="12">
        <v>44131</v>
      </c>
      <c r="C131" s="33">
        <v>4</v>
      </c>
      <c r="D131" s="3">
        <v>1406</v>
      </c>
      <c r="E131" s="2">
        <v>0.61</v>
      </c>
      <c r="F131" s="4">
        <v>1.0173611111111111E-2</v>
      </c>
      <c r="G131" s="2">
        <v>106</v>
      </c>
      <c r="H131" s="10">
        <v>107</v>
      </c>
    </row>
    <row r="132" spans="2:9" x14ac:dyDescent="0.25">
      <c r="B132" s="12">
        <v>44132</v>
      </c>
      <c r="C132" s="33">
        <v>1</v>
      </c>
      <c r="D132" s="3">
        <v>2212</v>
      </c>
      <c r="E132" s="2">
        <v>0.97</v>
      </c>
      <c r="F132" s="4">
        <v>1.4884259259259259E-2</v>
      </c>
      <c r="G132" s="2">
        <v>161</v>
      </c>
      <c r="H132" s="10">
        <v>106</v>
      </c>
    </row>
    <row r="133" spans="2:9" x14ac:dyDescent="0.25">
      <c r="B133" s="12">
        <v>44132</v>
      </c>
      <c r="C133" s="33">
        <v>2</v>
      </c>
      <c r="D133" s="3">
        <v>1624</v>
      </c>
      <c r="E133" s="2">
        <v>0.72</v>
      </c>
      <c r="F133" s="4">
        <v>1.105324074074074E-2</v>
      </c>
      <c r="G133" s="2">
        <v>119</v>
      </c>
      <c r="H133" s="10">
        <v>105</v>
      </c>
    </row>
    <row r="134" spans="2:9" x14ac:dyDescent="0.25">
      <c r="B134" s="12">
        <v>44132</v>
      </c>
      <c r="C134" s="33">
        <v>3</v>
      </c>
      <c r="D134" s="3">
        <v>2514</v>
      </c>
      <c r="E134" s="2">
        <v>1.1000000000000001</v>
      </c>
      <c r="F134" s="4">
        <v>1.7430555555555557E-2</v>
      </c>
      <c r="G134" s="2">
        <v>181</v>
      </c>
      <c r="H134" s="10">
        <v>103</v>
      </c>
      <c r="I134" s="39"/>
    </row>
    <row r="135" spans="2:9" x14ac:dyDescent="0.25">
      <c r="B135" s="12">
        <v>44132</v>
      </c>
      <c r="C135" s="33">
        <v>4</v>
      </c>
      <c r="D135" s="3">
        <v>1479</v>
      </c>
      <c r="E135" s="2">
        <v>0.65</v>
      </c>
      <c r="F135" s="4">
        <v>1.037037037037037E-2</v>
      </c>
      <c r="G135" s="2">
        <v>106</v>
      </c>
      <c r="H135" s="10">
        <v>106</v>
      </c>
    </row>
    <row r="136" spans="2:9" x14ac:dyDescent="0.25">
      <c r="B136" s="12">
        <v>44133</v>
      </c>
      <c r="C136" s="33">
        <v>1</v>
      </c>
      <c r="D136" s="3">
        <v>1849</v>
      </c>
      <c r="E136" s="2">
        <v>0.81</v>
      </c>
      <c r="F136" s="4">
        <v>1.2662037037037039E-2</v>
      </c>
      <c r="G136" s="2">
        <v>139</v>
      </c>
      <c r="H136" s="10">
        <v>105</v>
      </c>
    </row>
    <row r="137" spans="2:9" x14ac:dyDescent="0.25">
      <c r="B137" s="12">
        <v>44133</v>
      </c>
      <c r="C137" s="33">
        <v>2</v>
      </c>
      <c r="D137" s="3">
        <v>1606</v>
      </c>
      <c r="E137" s="2">
        <v>0.7</v>
      </c>
      <c r="F137" s="4">
        <v>1.0972222222222223E-2</v>
      </c>
      <c r="G137" s="2">
        <v>122</v>
      </c>
      <c r="H137" s="10">
        <v>109</v>
      </c>
    </row>
    <row r="138" spans="2:9" x14ac:dyDescent="0.25">
      <c r="B138" s="12">
        <v>44133</v>
      </c>
      <c r="C138" s="33">
        <v>3</v>
      </c>
      <c r="D138" s="3">
        <v>4288</v>
      </c>
      <c r="E138" s="2">
        <v>1.88</v>
      </c>
      <c r="F138" s="4">
        <v>2.9814814814814811E-2</v>
      </c>
      <c r="G138" s="2">
        <v>349</v>
      </c>
      <c r="H138" s="10">
        <v>115</v>
      </c>
    </row>
    <row r="139" spans="2:9" x14ac:dyDescent="0.25">
      <c r="B139" s="12">
        <v>44133</v>
      </c>
      <c r="C139" s="33">
        <v>4</v>
      </c>
      <c r="D139" s="3">
        <v>1431</v>
      </c>
      <c r="E139" s="2">
        <v>0.63</v>
      </c>
      <c r="F139" s="4">
        <v>1.0439814814814813E-2</v>
      </c>
      <c r="G139" s="2">
        <v>103</v>
      </c>
      <c r="H139" s="10">
        <v>106</v>
      </c>
    </row>
    <row r="140" spans="2:9" x14ac:dyDescent="0.25">
      <c r="B140" s="12">
        <v>44134</v>
      </c>
      <c r="C140" s="33">
        <v>1</v>
      </c>
      <c r="D140" s="3">
        <v>1846</v>
      </c>
      <c r="E140" s="2">
        <v>0.81</v>
      </c>
      <c r="F140" s="4">
        <v>1.2870370370370372E-2</v>
      </c>
      <c r="G140" s="2">
        <v>132</v>
      </c>
      <c r="H140" s="10">
        <v>104</v>
      </c>
    </row>
    <row r="141" spans="2:9" x14ac:dyDescent="0.25">
      <c r="B141" s="12">
        <v>44134</v>
      </c>
      <c r="C141" s="33">
        <v>2</v>
      </c>
      <c r="D141" s="3">
        <v>1618</v>
      </c>
      <c r="E141" s="2">
        <v>0.71</v>
      </c>
      <c r="F141" s="4">
        <v>1.0902777777777777E-2</v>
      </c>
      <c r="G141" s="2">
        <v>113</v>
      </c>
      <c r="H141" s="10">
        <v>105</v>
      </c>
    </row>
    <row r="142" spans="2:9" x14ac:dyDescent="0.25">
      <c r="B142" s="12">
        <v>44134</v>
      </c>
      <c r="C142" s="33">
        <v>3</v>
      </c>
      <c r="D142" s="3">
        <v>2346</v>
      </c>
      <c r="E142" s="2">
        <v>1.03</v>
      </c>
      <c r="F142" s="4">
        <v>1.6273148148148148E-2</v>
      </c>
      <c r="G142" s="2">
        <v>199</v>
      </c>
      <c r="H142" s="10">
        <v>115</v>
      </c>
    </row>
    <row r="143" spans="2:9" x14ac:dyDescent="0.25">
      <c r="B143" s="12">
        <v>44134</v>
      </c>
      <c r="C143" s="33">
        <v>4</v>
      </c>
      <c r="D143" s="3">
        <v>1410</v>
      </c>
      <c r="E143" s="2">
        <v>0.62</v>
      </c>
      <c r="F143" s="4">
        <v>9.8958333333333329E-3</v>
      </c>
      <c r="G143" s="2">
        <v>104</v>
      </c>
      <c r="H143" s="10">
        <v>104</v>
      </c>
    </row>
    <row r="144" spans="2:9" x14ac:dyDescent="0.25">
      <c r="B144" s="12">
        <v>44135</v>
      </c>
      <c r="C144" s="33">
        <v>2</v>
      </c>
      <c r="D144" s="3">
        <v>5439</v>
      </c>
      <c r="E144" s="2">
        <v>2.39</v>
      </c>
      <c r="F144" s="4">
        <v>3.5289351851851856E-2</v>
      </c>
      <c r="G144" s="2">
        <v>407</v>
      </c>
      <c r="H144" s="10">
        <v>110</v>
      </c>
    </row>
    <row r="145" spans="2:15" x14ac:dyDescent="0.25">
      <c r="B145" s="12"/>
      <c r="C145" s="33"/>
      <c r="D145" s="3"/>
      <c r="E145" s="2"/>
      <c r="F145" s="4"/>
      <c r="G145" s="2"/>
      <c r="H145" s="10"/>
    </row>
    <row r="146" spans="2:15" x14ac:dyDescent="0.25">
      <c r="B146" s="5" t="s">
        <v>15</v>
      </c>
      <c r="C146" s="5"/>
      <c r="D146" s="5" t="s">
        <v>1</v>
      </c>
      <c r="E146" s="5" t="s">
        <v>7</v>
      </c>
      <c r="F146" s="5" t="s">
        <v>6</v>
      </c>
      <c r="G146" s="11" t="s">
        <v>8</v>
      </c>
      <c r="H146" s="9" t="s">
        <v>2</v>
      </c>
    </row>
    <row r="147" spans="2:15" x14ac:dyDescent="0.25">
      <c r="B147" s="13">
        <f>COUNT(B48:B145)</f>
        <v>97</v>
      </c>
      <c r="D147" s="8">
        <f>SUM(D48:D145)</f>
        <v>221512</v>
      </c>
      <c r="E147" s="6">
        <f>SUM(E48:E145)</f>
        <v>98.97999999999999</v>
      </c>
      <c r="F147" s="38">
        <f>SUM(F48:F145)</f>
        <v>1.5830439814814818</v>
      </c>
      <c r="G147" s="6">
        <f>SUM(G48:G145)</f>
        <v>17466</v>
      </c>
      <c r="I147" s="6" t="s">
        <v>19</v>
      </c>
    </row>
    <row r="148" spans="2:15" ht="15.75" thickBot="1" x14ac:dyDescent="0.3">
      <c r="B148" s="13">
        <f>COUNT(_xlfn.UNIQUE(B48:B145))</f>
        <v>30</v>
      </c>
      <c r="C148" s="35" t="s">
        <v>23</v>
      </c>
      <c r="D148" s="8"/>
      <c r="E148" s="6"/>
      <c r="F148" s="7"/>
      <c r="G148" s="6"/>
      <c r="I148" s="6"/>
    </row>
    <row r="149" spans="2:15" x14ac:dyDescent="0.25">
      <c r="B149" s="19"/>
      <c r="C149" s="36" t="s">
        <v>3</v>
      </c>
      <c r="D149" s="20">
        <f>AVERAGE(D48:D145)</f>
        <v>2283.6288659793813</v>
      </c>
      <c r="E149" s="21">
        <f>AVERAGE(E48:E145)</f>
        <v>1.0204123711340205</v>
      </c>
      <c r="F149" s="22">
        <f>AVERAGE(F48:F145)</f>
        <v>1.6320041046200842E-2</v>
      </c>
      <c r="G149" s="23">
        <f>AVERAGE(G48:G145)</f>
        <v>180.06185567010309</v>
      </c>
      <c r="H149" s="23">
        <f>AVERAGE(H48:H145)</f>
        <v>108.1340206185567</v>
      </c>
      <c r="I149" s="24" t="s">
        <v>3</v>
      </c>
    </row>
    <row r="150" spans="2:15" x14ac:dyDescent="0.25">
      <c r="B150" s="32" t="s">
        <v>20</v>
      </c>
      <c r="C150" s="32" t="s">
        <v>4</v>
      </c>
      <c r="D150" s="18">
        <f>MIN(D48:D145)</f>
        <v>517</v>
      </c>
      <c r="E150" s="16">
        <f>MIN(E48:E145)</f>
        <v>0.52</v>
      </c>
      <c r="F150" s="17">
        <f>MIN(F48:F145)</f>
        <v>8.2291666666666659E-3</v>
      </c>
      <c r="G150" s="15">
        <f>MIN(G48:G145)</f>
        <v>76</v>
      </c>
      <c r="H150" s="15">
        <f>MIN(H48:H145)</f>
        <v>91</v>
      </c>
      <c r="I150" s="25" t="s">
        <v>4</v>
      </c>
    </row>
    <row r="151" spans="2:15" ht="15.75" thickBot="1" x14ac:dyDescent="0.3">
      <c r="B151" s="26"/>
      <c r="C151" s="37" t="s">
        <v>5</v>
      </c>
      <c r="D151" s="27">
        <f>MAX(D48:D145)</f>
        <v>5737</v>
      </c>
      <c r="E151" s="28">
        <f>MAX(E48:E145)</f>
        <v>2.5</v>
      </c>
      <c r="F151" s="29">
        <f>MAX(F48:F145)</f>
        <v>3.7199074074074072E-2</v>
      </c>
      <c r="G151" s="30">
        <f>MAX(G48:G145)</f>
        <v>429</v>
      </c>
      <c r="H151" s="30">
        <f>MAX(H48:H145)</f>
        <v>121</v>
      </c>
      <c r="I151" s="31" t="s">
        <v>5</v>
      </c>
    </row>
    <row r="154" spans="2:15" x14ac:dyDescent="0.25">
      <c r="B154" t="s">
        <v>25</v>
      </c>
      <c r="F154" s="1"/>
    </row>
    <row r="155" spans="2:15" x14ac:dyDescent="0.25">
      <c r="B155" s="5" t="s">
        <v>0</v>
      </c>
      <c r="C155" s="5" t="s">
        <v>22</v>
      </c>
      <c r="D155" s="5" t="s">
        <v>9</v>
      </c>
      <c r="E155" s="11" t="s">
        <v>10</v>
      </c>
      <c r="F155" s="5" t="s">
        <v>11</v>
      </c>
      <c r="G155" s="11" t="s">
        <v>12</v>
      </c>
      <c r="H155" s="9" t="s">
        <v>13</v>
      </c>
      <c r="I155" s="41"/>
      <c r="J155" s="44"/>
      <c r="K155" s="44"/>
      <c r="L155" s="44"/>
    </row>
    <row r="156" spans="2:15" x14ac:dyDescent="0.25">
      <c r="B156" s="12">
        <v>44136</v>
      </c>
      <c r="C156" s="33">
        <v>1</v>
      </c>
      <c r="D156" s="3">
        <v>3254</v>
      </c>
      <c r="E156" s="2">
        <v>1.42</v>
      </c>
      <c r="F156" s="4">
        <v>2.2546296296296297E-2</v>
      </c>
      <c r="G156" s="2">
        <v>235</v>
      </c>
      <c r="H156" s="10">
        <v>98</v>
      </c>
      <c r="I156" s="41"/>
      <c r="J156" s="44"/>
      <c r="K156" s="44"/>
      <c r="L156" s="44"/>
    </row>
    <row r="157" spans="2:15" x14ac:dyDescent="0.25">
      <c r="B157" s="12">
        <v>44136</v>
      </c>
      <c r="C157" s="33">
        <v>2</v>
      </c>
      <c r="D157" s="3">
        <v>5420</v>
      </c>
      <c r="E157" s="2">
        <v>2.37</v>
      </c>
      <c r="F157" s="4">
        <v>3.5115740740740746E-2</v>
      </c>
      <c r="G157" s="2">
        <v>394</v>
      </c>
      <c r="H157" s="10">
        <v>106</v>
      </c>
      <c r="I157" s="41"/>
      <c r="J157" s="44"/>
      <c r="K157" s="44"/>
      <c r="L157" s="44"/>
      <c r="M157" s="44"/>
      <c r="N157" s="44"/>
      <c r="O157" s="44"/>
    </row>
    <row r="158" spans="2:15" x14ac:dyDescent="0.25">
      <c r="B158" s="12">
        <v>44137</v>
      </c>
      <c r="C158" s="33">
        <v>1</v>
      </c>
      <c r="D158" s="3">
        <v>1776</v>
      </c>
      <c r="E158" s="2">
        <v>0.78</v>
      </c>
      <c r="F158" s="4">
        <v>1.2083333333333333E-2</v>
      </c>
      <c r="G158" s="2">
        <v>141</v>
      </c>
      <c r="H158" s="10">
        <v>110</v>
      </c>
      <c r="I158" s="41"/>
      <c r="J158" s="44"/>
      <c r="K158" s="44"/>
      <c r="L158" s="44"/>
      <c r="M158" s="44"/>
      <c r="N158" s="44"/>
      <c r="O158" s="44"/>
    </row>
    <row r="159" spans="2:15" x14ac:dyDescent="0.25">
      <c r="B159" s="12">
        <v>44137</v>
      </c>
      <c r="C159" s="33">
        <v>2</v>
      </c>
      <c r="D159" s="3">
        <v>1584</v>
      </c>
      <c r="E159" s="2">
        <v>0.69</v>
      </c>
      <c r="F159" s="4">
        <v>1.1087962962962964E-2</v>
      </c>
      <c r="G159" s="2">
        <v>127</v>
      </c>
      <c r="H159" s="10">
        <v>111</v>
      </c>
      <c r="I159" s="41"/>
      <c r="J159" s="44"/>
      <c r="K159" s="44"/>
      <c r="L159" s="44"/>
      <c r="M159" s="44"/>
      <c r="N159" s="44"/>
      <c r="O159" s="44"/>
    </row>
    <row r="160" spans="2:15" x14ac:dyDescent="0.25">
      <c r="B160" s="12">
        <v>44137</v>
      </c>
      <c r="C160" s="33">
        <v>3</v>
      </c>
      <c r="D160" s="3">
        <v>3002</v>
      </c>
      <c r="E160" s="2">
        <v>1.32</v>
      </c>
      <c r="F160" s="4">
        <v>2.1134259259259259E-2</v>
      </c>
      <c r="G160" s="2">
        <v>242</v>
      </c>
      <c r="H160" s="10">
        <v>109</v>
      </c>
      <c r="I160" s="41"/>
      <c r="J160" s="44"/>
      <c r="K160" s="44"/>
      <c r="L160" s="44"/>
      <c r="M160" s="44"/>
      <c r="N160" s="44"/>
      <c r="O160" s="44"/>
    </row>
    <row r="161" spans="2:15" ht="15" customHeight="1" x14ac:dyDescent="0.25">
      <c r="B161" s="12">
        <v>44137</v>
      </c>
      <c r="C161" s="33">
        <v>4</v>
      </c>
      <c r="D161" s="3">
        <v>1381</v>
      </c>
      <c r="E161" s="2">
        <v>0.6</v>
      </c>
      <c r="F161" s="4">
        <v>9.9884259259259266E-3</v>
      </c>
      <c r="G161" s="2">
        <v>111</v>
      </c>
      <c r="H161" s="10">
        <v>108</v>
      </c>
      <c r="I161" s="41"/>
      <c r="J161" s="44"/>
      <c r="K161" s="44"/>
      <c r="L161" s="44"/>
      <c r="M161" s="44"/>
      <c r="N161" s="44"/>
      <c r="O161" s="44"/>
    </row>
    <row r="162" spans="2:15" ht="15.75" customHeight="1" x14ac:dyDescent="0.25">
      <c r="B162" s="12">
        <v>44138</v>
      </c>
      <c r="C162" s="33">
        <v>1</v>
      </c>
      <c r="D162" s="3">
        <v>1592</v>
      </c>
      <c r="E162" s="2">
        <v>0.7</v>
      </c>
      <c r="F162" s="4">
        <v>1.1203703703703704E-2</v>
      </c>
      <c r="G162" s="2">
        <v>113</v>
      </c>
      <c r="H162" s="10">
        <v>104</v>
      </c>
      <c r="I162" s="41"/>
      <c r="J162" s="44"/>
      <c r="K162" s="44"/>
      <c r="L162" s="44"/>
      <c r="M162" s="44"/>
      <c r="N162" s="44"/>
      <c r="O162" s="44"/>
    </row>
    <row r="163" spans="2:15" x14ac:dyDescent="0.25">
      <c r="B163" s="12">
        <v>44138</v>
      </c>
      <c r="C163" s="33">
        <v>2</v>
      </c>
      <c r="D163" s="3">
        <v>2513</v>
      </c>
      <c r="E163" s="2">
        <v>1.1000000000000001</v>
      </c>
      <c r="F163" s="4">
        <v>1.7662037037037035E-2</v>
      </c>
      <c r="G163" s="2">
        <v>199</v>
      </c>
      <c r="H163" s="10">
        <v>110</v>
      </c>
      <c r="I163" s="41"/>
      <c r="J163" s="44"/>
      <c r="K163" s="44"/>
      <c r="L163" s="44"/>
      <c r="M163" s="44"/>
      <c r="N163" s="44"/>
      <c r="O163" s="44"/>
    </row>
    <row r="164" spans="2:15" x14ac:dyDescent="0.25">
      <c r="B164" s="12">
        <v>44138</v>
      </c>
      <c r="C164" s="33">
        <v>3</v>
      </c>
      <c r="D164" s="3">
        <v>1633</v>
      </c>
      <c r="E164" s="2">
        <v>0.72</v>
      </c>
      <c r="F164" s="4">
        <v>1.1307870370370371E-2</v>
      </c>
      <c r="G164" s="2">
        <v>124</v>
      </c>
      <c r="H164" s="10">
        <v>109</v>
      </c>
      <c r="I164" s="41"/>
      <c r="J164" s="44"/>
      <c r="K164" s="44"/>
      <c r="L164" s="44"/>
      <c r="M164" s="44"/>
      <c r="N164" s="44"/>
      <c r="O164" s="44"/>
    </row>
    <row r="165" spans="2:15" x14ac:dyDescent="0.25">
      <c r="B165" s="12">
        <v>44139</v>
      </c>
      <c r="C165" s="33">
        <v>1</v>
      </c>
      <c r="D165" s="3">
        <v>2369</v>
      </c>
      <c r="E165" s="2">
        <v>1.04</v>
      </c>
      <c r="F165" s="4">
        <v>1.6030092592592592E-2</v>
      </c>
      <c r="G165" s="2">
        <v>184</v>
      </c>
      <c r="H165" s="10">
        <v>109</v>
      </c>
      <c r="I165" s="41"/>
      <c r="J165" s="44"/>
      <c r="K165" s="44"/>
      <c r="L165" s="45"/>
      <c r="M165" s="44"/>
      <c r="N165" s="42"/>
      <c r="O165" s="44"/>
    </row>
    <row r="166" spans="2:15" x14ac:dyDescent="0.25">
      <c r="B166" s="12">
        <v>44139</v>
      </c>
      <c r="C166" s="33">
        <v>2</v>
      </c>
      <c r="D166" s="3">
        <v>1640</v>
      </c>
      <c r="E166" s="2">
        <v>0.72</v>
      </c>
      <c r="F166" s="4">
        <v>1.1030092592592591E-2</v>
      </c>
      <c r="G166" s="2">
        <v>123</v>
      </c>
      <c r="H166" s="10">
        <v>105</v>
      </c>
      <c r="I166" s="41"/>
      <c r="J166" s="44"/>
      <c r="K166" s="44"/>
      <c r="L166" s="45"/>
      <c r="M166" s="44"/>
      <c r="N166" s="42"/>
      <c r="O166" s="44"/>
    </row>
    <row r="167" spans="2:15" x14ac:dyDescent="0.25">
      <c r="B167" s="12">
        <v>44139</v>
      </c>
      <c r="C167" s="33">
        <v>3</v>
      </c>
      <c r="D167" s="3">
        <v>3200</v>
      </c>
      <c r="E167" s="2">
        <v>1.4</v>
      </c>
      <c r="F167" s="4">
        <v>2.1597222222222223E-2</v>
      </c>
      <c r="G167" s="2">
        <v>248</v>
      </c>
      <c r="H167" s="10">
        <v>110</v>
      </c>
      <c r="I167" s="41"/>
      <c r="J167" s="44"/>
      <c r="K167" s="44"/>
      <c r="L167" s="45"/>
      <c r="M167" s="44"/>
      <c r="N167" s="46"/>
      <c r="O167" s="44"/>
    </row>
    <row r="168" spans="2:15" x14ac:dyDescent="0.25">
      <c r="B168" s="12">
        <v>44139</v>
      </c>
      <c r="C168" s="33">
        <v>4</v>
      </c>
      <c r="D168" s="3">
        <v>1437</v>
      </c>
      <c r="E168" s="2">
        <v>0.63</v>
      </c>
      <c r="F168" s="4">
        <v>1.0081018518518519E-2</v>
      </c>
      <c r="G168" s="2">
        <v>110</v>
      </c>
      <c r="H168" s="10">
        <v>110</v>
      </c>
      <c r="I168" s="41"/>
      <c r="J168" s="44"/>
      <c r="K168" s="44"/>
      <c r="L168" s="45"/>
      <c r="M168" s="44"/>
      <c r="N168" s="42"/>
      <c r="O168" s="44"/>
    </row>
    <row r="169" spans="2:15" x14ac:dyDescent="0.25">
      <c r="B169" s="12">
        <v>44140</v>
      </c>
      <c r="C169" s="33">
        <v>1</v>
      </c>
      <c r="D169" s="3">
        <v>2647</v>
      </c>
      <c r="E169" s="2">
        <v>1.1499999999999999</v>
      </c>
      <c r="F169" s="4">
        <v>1.7986111111111109E-2</v>
      </c>
      <c r="G169" s="2">
        <v>199</v>
      </c>
      <c r="H169" s="10">
        <v>110</v>
      </c>
      <c r="I169" s="41"/>
      <c r="J169" s="44"/>
      <c r="K169" s="44"/>
      <c r="L169" s="45"/>
      <c r="M169" s="44"/>
      <c r="N169" s="46"/>
      <c r="O169" s="44"/>
    </row>
    <row r="170" spans="2:15" x14ac:dyDescent="0.25">
      <c r="B170" s="12">
        <v>44140</v>
      </c>
      <c r="C170" s="33">
        <v>2</v>
      </c>
      <c r="D170" s="3">
        <v>1597</v>
      </c>
      <c r="E170" s="2">
        <v>0.7</v>
      </c>
      <c r="F170" s="4">
        <v>1.0902777777777777E-2</v>
      </c>
      <c r="G170" s="2">
        <v>118</v>
      </c>
      <c r="H170" s="10">
        <v>112</v>
      </c>
      <c r="I170" s="41"/>
      <c r="J170" s="44"/>
      <c r="K170" s="44"/>
      <c r="L170" s="45"/>
      <c r="M170" s="44"/>
      <c r="N170" s="42"/>
      <c r="O170" s="44"/>
    </row>
    <row r="171" spans="2:15" x14ac:dyDescent="0.25">
      <c r="B171" s="12">
        <v>44140</v>
      </c>
      <c r="C171" s="33">
        <v>3</v>
      </c>
      <c r="D171" s="3">
        <v>1974</v>
      </c>
      <c r="E171" s="2">
        <v>0.86</v>
      </c>
      <c r="F171" s="4">
        <v>1.3784722222222224E-2</v>
      </c>
      <c r="G171" s="2">
        <v>170</v>
      </c>
      <c r="H171" s="10">
        <v>118</v>
      </c>
      <c r="I171" s="41"/>
      <c r="J171" s="44"/>
      <c r="K171" s="44"/>
      <c r="L171" s="45"/>
      <c r="M171" s="44"/>
      <c r="N171" s="42"/>
      <c r="O171" s="44"/>
    </row>
    <row r="172" spans="2:15" x14ac:dyDescent="0.25">
      <c r="B172" s="12">
        <v>44140</v>
      </c>
      <c r="C172" s="33">
        <v>4</v>
      </c>
      <c r="D172" s="3">
        <v>1414</v>
      </c>
      <c r="E172" s="2">
        <v>0.62</v>
      </c>
      <c r="F172" s="4">
        <v>1.0081018518518519E-2</v>
      </c>
      <c r="G172" s="2">
        <v>108</v>
      </c>
      <c r="H172" s="10">
        <v>109</v>
      </c>
      <c r="I172" s="41"/>
      <c r="J172" s="44"/>
      <c r="K172" s="44"/>
      <c r="L172" s="45"/>
      <c r="M172" s="44"/>
      <c r="N172" s="42"/>
      <c r="O172" s="44"/>
    </row>
    <row r="173" spans="2:15" x14ac:dyDescent="0.25">
      <c r="B173" s="12">
        <v>44141</v>
      </c>
      <c r="C173" s="33">
        <v>1</v>
      </c>
      <c r="D173" s="3">
        <v>2603</v>
      </c>
      <c r="E173" s="2">
        <v>1.1399999999999999</v>
      </c>
      <c r="F173" s="4">
        <v>1.7534722222222222E-2</v>
      </c>
      <c r="G173" s="2">
        <v>196</v>
      </c>
      <c r="H173" s="10">
        <v>105</v>
      </c>
      <c r="I173" s="41"/>
      <c r="J173" s="44"/>
      <c r="K173" s="44"/>
      <c r="L173" s="44"/>
      <c r="M173" s="44"/>
      <c r="N173" s="42"/>
      <c r="O173" s="44"/>
    </row>
    <row r="174" spans="2:15" x14ac:dyDescent="0.25">
      <c r="B174" s="12">
        <v>44141</v>
      </c>
      <c r="C174" s="33">
        <v>2</v>
      </c>
      <c r="D174" s="3">
        <v>971</v>
      </c>
      <c r="E174" s="2">
        <v>0.42</v>
      </c>
      <c r="F174" s="4">
        <v>6.6898148148148142E-3</v>
      </c>
      <c r="G174" s="2">
        <v>65</v>
      </c>
      <c r="H174" s="10">
        <v>102</v>
      </c>
      <c r="I174" s="41"/>
      <c r="J174" s="44"/>
      <c r="K174" s="44"/>
      <c r="L174" s="45"/>
      <c r="M174" s="44"/>
      <c r="N174" s="46"/>
      <c r="O174" s="44"/>
    </row>
    <row r="175" spans="2:15" x14ac:dyDescent="0.25">
      <c r="B175" s="12">
        <v>44141</v>
      </c>
      <c r="C175" s="33">
        <v>3</v>
      </c>
      <c r="D175" s="3">
        <v>1934</v>
      </c>
      <c r="E175" s="2">
        <v>0.85</v>
      </c>
      <c r="F175" s="4">
        <v>1.2951388888888887E-2</v>
      </c>
      <c r="G175" s="2">
        <v>145</v>
      </c>
      <c r="H175" s="10">
        <v>109</v>
      </c>
      <c r="I175" s="41"/>
      <c r="J175" s="44"/>
      <c r="K175" s="44"/>
      <c r="L175" s="44"/>
      <c r="M175" s="44"/>
      <c r="N175" s="42"/>
      <c r="O175" s="44"/>
    </row>
    <row r="176" spans="2:15" x14ac:dyDescent="0.25">
      <c r="B176" s="12">
        <v>44142</v>
      </c>
      <c r="C176" s="33">
        <v>1</v>
      </c>
      <c r="D176" s="3">
        <v>3932</v>
      </c>
      <c r="E176" s="2">
        <v>1.73</v>
      </c>
      <c r="F176" s="4">
        <v>1.9166666666666669E-2</v>
      </c>
      <c r="G176" s="2">
        <v>277</v>
      </c>
      <c r="H176" s="10">
        <v>105</v>
      </c>
      <c r="I176" s="41"/>
      <c r="J176" s="44"/>
      <c r="K176" s="44"/>
      <c r="L176" s="45"/>
      <c r="M176" s="44"/>
      <c r="N176" s="42"/>
      <c r="O176" s="44"/>
    </row>
    <row r="177" spans="2:15" x14ac:dyDescent="0.25">
      <c r="B177" s="12">
        <v>44143</v>
      </c>
      <c r="C177" s="33">
        <v>1</v>
      </c>
      <c r="D177" s="3">
        <v>5410</v>
      </c>
      <c r="E177" s="2">
        <v>2.38</v>
      </c>
      <c r="F177" s="4">
        <v>3.3969907407407407E-2</v>
      </c>
      <c r="G177" s="2">
        <v>392</v>
      </c>
      <c r="H177" s="10">
        <v>110</v>
      </c>
      <c r="I177" s="41"/>
      <c r="J177" s="44"/>
      <c r="K177" s="44"/>
      <c r="L177" s="45"/>
      <c r="M177" s="44"/>
      <c r="N177" s="46"/>
      <c r="O177" s="44"/>
    </row>
    <row r="178" spans="2:15" x14ac:dyDescent="0.25">
      <c r="B178" s="12">
        <v>44144</v>
      </c>
      <c r="C178" s="33">
        <v>1</v>
      </c>
      <c r="D178" s="3">
        <v>1789</v>
      </c>
      <c r="E178" s="2">
        <v>0.78</v>
      </c>
      <c r="F178" s="4">
        <v>1.2314814814814815E-2</v>
      </c>
      <c r="G178" s="2">
        <v>133</v>
      </c>
      <c r="H178" s="10">
        <v>107</v>
      </c>
      <c r="I178" s="41"/>
      <c r="J178" s="44"/>
      <c r="K178" s="44"/>
      <c r="L178" s="45"/>
      <c r="M178" s="44"/>
      <c r="N178" s="46"/>
      <c r="O178" s="44"/>
    </row>
    <row r="179" spans="2:15" x14ac:dyDescent="0.25">
      <c r="B179" s="12">
        <v>44144</v>
      </c>
      <c r="C179" s="33">
        <v>2</v>
      </c>
      <c r="D179" s="3">
        <v>1600</v>
      </c>
      <c r="E179" s="2">
        <v>0.7</v>
      </c>
      <c r="F179" s="4">
        <v>1.0995370370370371E-2</v>
      </c>
      <c r="G179" s="2">
        <v>123</v>
      </c>
      <c r="H179" s="10">
        <v>109</v>
      </c>
      <c r="I179" s="41"/>
      <c r="L179" s="45"/>
      <c r="M179" s="44"/>
      <c r="N179" s="42"/>
      <c r="O179" s="44"/>
    </row>
    <row r="180" spans="2:15" x14ac:dyDescent="0.25">
      <c r="B180" s="12">
        <v>44144</v>
      </c>
      <c r="C180" s="33">
        <v>3</v>
      </c>
      <c r="D180" s="3">
        <v>2055</v>
      </c>
      <c r="E180" s="2">
        <v>0.9</v>
      </c>
      <c r="F180" s="4">
        <v>1.4733796296296295E-2</v>
      </c>
      <c r="G180" s="2">
        <v>156</v>
      </c>
      <c r="H180" s="10">
        <v>104</v>
      </c>
      <c r="I180" s="41"/>
      <c r="L180" s="55"/>
      <c r="N180" s="14"/>
    </row>
    <row r="181" spans="2:15" x14ac:dyDescent="0.25">
      <c r="B181" s="12">
        <v>44144</v>
      </c>
      <c r="C181" s="33">
        <v>4</v>
      </c>
      <c r="D181" s="3">
        <v>1628</v>
      </c>
      <c r="E181" s="2">
        <v>0.72</v>
      </c>
      <c r="F181" s="4">
        <v>1.1527777777777777E-2</v>
      </c>
      <c r="G181" s="2">
        <v>114</v>
      </c>
      <c r="H181" s="10">
        <v>101</v>
      </c>
      <c r="I181" s="41"/>
      <c r="J181" s="44"/>
      <c r="K181" s="44"/>
      <c r="L181" s="45"/>
      <c r="M181" s="44"/>
      <c r="N181" s="42"/>
      <c r="O181" s="44"/>
    </row>
    <row r="182" spans="2:15" x14ac:dyDescent="0.25">
      <c r="B182" s="12">
        <v>44145</v>
      </c>
      <c r="C182" s="33">
        <v>1</v>
      </c>
      <c r="D182" s="3">
        <v>1184</v>
      </c>
      <c r="E182" s="2">
        <v>0.52</v>
      </c>
      <c r="F182" s="4">
        <v>8.3449074074074085E-3</v>
      </c>
      <c r="G182" s="2">
        <v>82</v>
      </c>
      <c r="H182" s="10">
        <v>103</v>
      </c>
      <c r="I182" s="41"/>
      <c r="J182" s="44"/>
      <c r="K182" s="44"/>
      <c r="L182" s="45"/>
      <c r="M182" s="44"/>
      <c r="N182" s="42"/>
      <c r="O182" s="44"/>
    </row>
    <row r="183" spans="2:15" x14ac:dyDescent="0.25">
      <c r="B183" s="12">
        <v>44145</v>
      </c>
      <c r="C183" s="33">
        <v>2</v>
      </c>
      <c r="D183" s="3">
        <v>1629</v>
      </c>
      <c r="E183" s="2">
        <v>0.72</v>
      </c>
      <c r="F183" s="4">
        <v>1.1099537037037038E-2</v>
      </c>
      <c r="G183" s="2">
        <v>120</v>
      </c>
      <c r="H183" s="10">
        <v>106</v>
      </c>
      <c r="I183" s="41"/>
      <c r="J183" s="44"/>
      <c r="K183" s="44"/>
      <c r="L183" s="45"/>
      <c r="M183" s="44"/>
      <c r="N183" s="42"/>
      <c r="O183" s="44"/>
    </row>
    <row r="184" spans="2:15" x14ac:dyDescent="0.25">
      <c r="B184" s="12">
        <v>44145</v>
      </c>
      <c r="C184" s="33">
        <v>3</v>
      </c>
      <c r="D184" s="3">
        <v>2555</v>
      </c>
      <c r="E184" s="2">
        <v>1.1200000000000001</v>
      </c>
      <c r="F184" s="4">
        <v>1.7465277777777777E-2</v>
      </c>
      <c r="G184" s="2">
        <v>188</v>
      </c>
      <c r="H184" s="10">
        <v>108</v>
      </c>
      <c r="I184" s="41"/>
      <c r="J184" s="44"/>
      <c r="K184" s="44"/>
      <c r="L184" s="45"/>
      <c r="M184" s="44"/>
      <c r="N184" s="42"/>
      <c r="O184" s="44"/>
    </row>
    <row r="185" spans="2:15" x14ac:dyDescent="0.25">
      <c r="B185" s="12">
        <v>44145</v>
      </c>
      <c r="C185" s="33">
        <v>4</v>
      </c>
      <c r="D185" s="3">
        <v>1410</v>
      </c>
      <c r="E185" s="2">
        <v>0.62</v>
      </c>
      <c r="F185" s="4">
        <v>1.0115740740740741E-2</v>
      </c>
      <c r="G185" s="2">
        <v>108</v>
      </c>
      <c r="H185" s="10">
        <v>111</v>
      </c>
      <c r="I185" s="41"/>
      <c r="J185" s="44"/>
      <c r="K185" s="44"/>
      <c r="L185" s="45"/>
      <c r="M185" s="44"/>
      <c r="N185" s="42"/>
      <c r="O185" s="44"/>
    </row>
    <row r="186" spans="2:15" x14ac:dyDescent="0.25">
      <c r="B186" s="12">
        <v>44146</v>
      </c>
      <c r="C186" s="33">
        <v>1</v>
      </c>
      <c r="D186" s="3">
        <v>5488</v>
      </c>
      <c r="E186" s="2">
        <v>2.42</v>
      </c>
      <c r="F186" s="4">
        <v>3.5185185185185187E-2</v>
      </c>
      <c r="G186" s="2">
        <v>387</v>
      </c>
      <c r="H186" s="10">
        <v>106</v>
      </c>
      <c r="I186" s="41"/>
      <c r="J186" s="44"/>
      <c r="K186" s="44"/>
      <c r="L186" s="45"/>
      <c r="M186" s="44"/>
      <c r="N186" s="42"/>
      <c r="O186" s="44"/>
    </row>
    <row r="187" spans="2:15" x14ac:dyDescent="0.25">
      <c r="B187" s="12">
        <v>44147</v>
      </c>
      <c r="C187" s="33">
        <v>1</v>
      </c>
      <c r="D187" s="3">
        <v>2139</v>
      </c>
      <c r="E187" s="2">
        <v>0.93</v>
      </c>
      <c r="F187" s="4">
        <v>1.4155092592592592E-2</v>
      </c>
      <c r="G187" s="2">
        <v>147</v>
      </c>
      <c r="H187" s="10">
        <v>106</v>
      </c>
      <c r="I187" s="41"/>
      <c r="J187" s="44"/>
      <c r="K187" s="44"/>
      <c r="L187" s="45"/>
      <c r="M187" s="44"/>
      <c r="N187" s="42"/>
      <c r="O187" s="44"/>
    </row>
    <row r="188" spans="2:15" x14ac:dyDescent="0.25">
      <c r="B188" s="12">
        <v>44147</v>
      </c>
      <c r="C188" s="33">
        <v>2</v>
      </c>
      <c r="D188" s="3">
        <v>1621</v>
      </c>
      <c r="E188" s="2">
        <v>0.71</v>
      </c>
      <c r="F188" s="4">
        <v>1.074074074074074E-2</v>
      </c>
      <c r="G188" s="2">
        <v>114</v>
      </c>
      <c r="H188" s="10">
        <v>108</v>
      </c>
      <c r="I188" s="41"/>
      <c r="J188" s="44"/>
      <c r="K188" s="44"/>
      <c r="L188" s="45"/>
      <c r="M188" s="44"/>
      <c r="N188" s="42"/>
      <c r="O188" s="44"/>
    </row>
    <row r="189" spans="2:15" x14ac:dyDescent="0.25">
      <c r="B189" s="12">
        <v>44147</v>
      </c>
      <c r="C189" s="33">
        <v>3</v>
      </c>
      <c r="D189" s="3">
        <v>2673</v>
      </c>
      <c r="E189" s="2">
        <v>1.17</v>
      </c>
      <c r="F189" s="4">
        <v>1.8101851851851852E-2</v>
      </c>
      <c r="G189" s="2">
        <v>201</v>
      </c>
      <c r="H189" s="10">
        <v>110</v>
      </c>
      <c r="I189" s="41"/>
      <c r="J189" s="44"/>
      <c r="K189" s="44"/>
      <c r="L189" s="45"/>
      <c r="M189" s="44"/>
      <c r="N189" s="42"/>
      <c r="O189" s="44"/>
    </row>
    <row r="190" spans="2:15" x14ac:dyDescent="0.25">
      <c r="B190" s="12">
        <v>44147</v>
      </c>
      <c r="C190" s="33">
        <v>4</v>
      </c>
      <c r="D190" s="3">
        <v>1628</v>
      </c>
      <c r="E190" s="2">
        <v>0.71</v>
      </c>
      <c r="F190" s="4">
        <v>1.1238425925925928E-2</v>
      </c>
      <c r="G190" s="2">
        <v>114</v>
      </c>
      <c r="H190" s="10">
        <v>108</v>
      </c>
      <c r="I190" s="41"/>
      <c r="J190" s="44"/>
      <c r="K190" s="44"/>
      <c r="L190" s="45"/>
      <c r="M190" s="44"/>
      <c r="N190" s="42"/>
      <c r="O190" s="44"/>
    </row>
    <row r="191" spans="2:15" x14ac:dyDescent="0.25">
      <c r="B191" s="12">
        <v>44149</v>
      </c>
      <c r="C191" s="33">
        <v>1</v>
      </c>
      <c r="D191" s="3">
        <v>5387</v>
      </c>
      <c r="E191" s="2">
        <v>2.37</v>
      </c>
      <c r="F191" s="4">
        <v>3.4791666666666672E-2</v>
      </c>
      <c r="G191" s="2">
        <v>392</v>
      </c>
      <c r="H191" s="10">
        <v>108</v>
      </c>
      <c r="I191" s="41"/>
      <c r="J191" s="44"/>
      <c r="K191" s="44"/>
      <c r="L191" s="45"/>
      <c r="M191" s="44"/>
      <c r="N191" s="42"/>
      <c r="O191" s="44"/>
    </row>
    <row r="192" spans="2:15" x14ac:dyDescent="0.25">
      <c r="B192" s="12">
        <v>44150</v>
      </c>
      <c r="C192" s="33">
        <v>1</v>
      </c>
      <c r="D192" s="3">
        <v>5485</v>
      </c>
      <c r="E192" s="2">
        <v>2.42</v>
      </c>
      <c r="F192" s="4">
        <v>3.4976851851851849E-2</v>
      </c>
      <c r="G192" s="2">
        <v>392</v>
      </c>
      <c r="H192" s="10">
        <v>106</v>
      </c>
      <c r="I192" s="41"/>
      <c r="J192" s="44"/>
      <c r="K192" s="44"/>
      <c r="L192" s="45"/>
      <c r="M192" s="44"/>
      <c r="N192" s="42"/>
      <c r="O192" s="44"/>
    </row>
    <row r="193" spans="2:15" x14ac:dyDescent="0.25">
      <c r="B193" s="12">
        <v>44151</v>
      </c>
      <c r="C193" s="33">
        <v>1</v>
      </c>
      <c r="D193" s="3">
        <v>2076</v>
      </c>
      <c r="E193" s="2">
        <v>0.9</v>
      </c>
      <c r="F193" s="4">
        <v>1.4826388888888889E-2</v>
      </c>
      <c r="G193" s="2">
        <v>161</v>
      </c>
      <c r="H193" s="10">
        <v>106</v>
      </c>
      <c r="I193" s="41"/>
      <c r="J193" s="44"/>
      <c r="K193" s="44"/>
      <c r="L193" s="45"/>
      <c r="M193" s="44"/>
      <c r="N193" s="42"/>
      <c r="O193" s="44"/>
    </row>
    <row r="194" spans="2:15" x14ac:dyDescent="0.25">
      <c r="B194" s="12">
        <v>44153</v>
      </c>
      <c r="C194" s="33">
        <v>1</v>
      </c>
      <c r="D194" s="3">
        <v>1576</v>
      </c>
      <c r="E194" s="2">
        <v>0.69</v>
      </c>
      <c r="F194" s="4">
        <v>1.0787037037037038E-2</v>
      </c>
      <c r="G194" s="2">
        <v>110</v>
      </c>
      <c r="H194" s="10">
        <v>103</v>
      </c>
      <c r="I194" s="41"/>
      <c r="J194" s="44"/>
      <c r="K194" s="44"/>
      <c r="L194" s="45"/>
      <c r="M194" s="44"/>
      <c r="N194" s="42"/>
      <c r="O194" s="44"/>
    </row>
    <row r="195" spans="2:15" x14ac:dyDescent="0.25">
      <c r="B195" s="12">
        <v>44154</v>
      </c>
      <c r="C195" s="33">
        <v>1</v>
      </c>
      <c r="D195" s="3">
        <v>2618</v>
      </c>
      <c r="E195" s="2">
        <v>1.1499999999999999</v>
      </c>
      <c r="F195" s="4">
        <v>1.7569444444444447E-2</v>
      </c>
      <c r="G195" s="2">
        <v>190</v>
      </c>
      <c r="H195" s="10">
        <v>109</v>
      </c>
      <c r="I195" s="41"/>
      <c r="J195" s="44"/>
      <c r="K195" s="44"/>
      <c r="L195" s="45"/>
      <c r="M195" s="44"/>
      <c r="N195" s="42"/>
      <c r="O195" s="44"/>
    </row>
    <row r="196" spans="2:15" x14ac:dyDescent="0.25">
      <c r="B196" s="12">
        <v>44154</v>
      </c>
      <c r="C196" s="33">
        <v>2</v>
      </c>
      <c r="D196" s="3">
        <v>1621</v>
      </c>
      <c r="E196" s="2">
        <v>0.71</v>
      </c>
      <c r="F196" s="4">
        <v>1.068287037037037E-2</v>
      </c>
      <c r="G196" s="2">
        <v>120</v>
      </c>
      <c r="H196" s="10">
        <v>108</v>
      </c>
      <c r="I196" s="41"/>
      <c r="J196" s="44"/>
      <c r="K196" s="44"/>
      <c r="L196" s="45"/>
      <c r="M196" s="44"/>
      <c r="N196" s="42"/>
      <c r="O196" s="44"/>
    </row>
    <row r="197" spans="2:15" x14ac:dyDescent="0.25">
      <c r="B197" s="12">
        <v>44154</v>
      </c>
      <c r="C197" s="33">
        <v>3</v>
      </c>
      <c r="D197" s="3">
        <v>2067</v>
      </c>
      <c r="E197" s="2">
        <v>0.9</v>
      </c>
      <c r="F197" s="4">
        <v>1.3912037037037037E-2</v>
      </c>
      <c r="G197" s="2">
        <v>149</v>
      </c>
      <c r="H197" s="10">
        <v>105</v>
      </c>
      <c r="I197" s="41"/>
      <c r="J197" s="44"/>
      <c r="K197" s="44"/>
      <c r="L197" s="45"/>
      <c r="M197" s="44"/>
      <c r="N197" s="42"/>
      <c r="O197" s="44"/>
    </row>
    <row r="198" spans="2:15" x14ac:dyDescent="0.25">
      <c r="B198" s="12">
        <v>44154</v>
      </c>
      <c r="C198" s="33">
        <v>4</v>
      </c>
      <c r="D198" s="3">
        <v>1583</v>
      </c>
      <c r="E198" s="2">
        <v>0.69</v>
      </c>
      <c r="F198" s="4">
        <v>1.0810185185185185E-2</v>
      </c>
      <c r="G198" s="2">
        <v>115</v>
      </c>
      <c r="H198" s="10">
        <v>103</v>
      </c>
      <c r="I198" s="41"/>
      <c r="J198" s="44"/>
      <c r="K198" s="44"/>
      <c r="L198" s="45"/>
      <c r="M198" s="44"/>
      <c r="N198" s="42"/>
      <c r="O198" s="44"/>
    </row>
    <row r="199" spans="2:15" x14ac:dyDescent="0.25">
      <c r="B199" s="12">
        <v>44116</v>
      </c>
      <c r="C199" s="33">
        <v>1</v>
      </c>
      <c r="D199" s="3">
        <v>2823</v>
      </c>
      <c r="E199" s="2">
        <v>1.24</v>
      </c>
      <c r="F199" s="4">
        <v>1.8449074074074073E-2</v>
      </c>
      <c r="G199" s="2">
        <v>210</v>
      </c>
      <c r="H199" s="10">
        <v>110</v>
      </c>
      <c r="I199" s="41"/>
      <c r="J199" s="44" t="s">
        <v>45</v>
      </c>
      <c r="K199" s="44" t="s">
        <v>46</v>
      </c>
      <c r="L199" s="45" t="s">
        <v>47</v>
      </c>
      <c r="M199" s="44" t="s">
        <v>48</v>
      </c>
      <c r="N199" s="42" t="s">
        <v>49</v>
      </c>
      <c r="O199" s="44" t="s">
        <v>50</v>
      </c>
    </row>
    <row r="200" spans="2:15" x14ac:dyDescent="0.25">
      <c r="B200" s="12">
        <v>44116</v>
      </c>
      <c r="C200" s="33">
        <v>2</v>
      </c>
      <c r="D200" s="3">
        <v>1594</v>
      </c>
      <c r="E200" s="2">
        <v>0.7</v>
      </c>
      <c r="F200" s="4">
        <v>1.0717592592592593E-2</v>
      </c>
      <c r="G200" s="2">
        <v>118</v>
      </c>
      <c r="H200" s="10">
        <v>105</v>
      </c>
      <c r="I200">
        <v>3</v>
      </c>
      <c r="J200" s="40" t="s">
        <v>54</v>
      </c>
      <c r="K200" s="40" t="s">
        <v>51</v>
      </c>
      <c r="L200" s="55">
        <v>1594</v>
      </c>
      <c r="M200" s="40">
        <v>0.7</v>
      </c>
      <c r="N200" s="14">
        <v>0.6430555555555556</v>
      </c>
      <c r="O200" s="40">
        <v>118</v>
      </c>
    </row>
    <row r="201" spans="2:15" x14ac:dyDescent="0.25">
      <c r="B201" s="12">
        <v>44116</v>
      </c>
      <c r="C201" s="33">
        <v>3</v>
      </c>
      <c r="D201" s="3">
        <v>3011</v>
      </c>
      <c r="E201" s="2">
        <v>1.32</v>
      </c>
      <c r="F201" s="4">
        <v>1.9791666666666666E-2</v>
      </c>
      <c r="G201" s="2">
        <v>229</v>
      </c>
      <c r="H201" s="10">
        <v>112</v>
      </c>
      <c r="I201">
        <v>2</v>
      </c>
      <c r="J201" s="40" t="s">
        <v>53</v>
      </c>
      <c r="K201" s="40" t="s">
        <v>51</v>
      </c>
      <c r="L201" s="55">
        <v>3011</v>
      </c>
      <c r="M201" s="40">
        <v>1.32</v>
      </c>
      <c r="N201" s="77">
        <v>1.1875</v>
      </c>
      <c r="O201" s="40">
        <v>229</v>
      </c>
    </row>
    <row r="202" spans="2:15" x14ac:dyDescent="0.25">
      <c r="B202" s="12">
        <v>44116</v>
      </c>
      <c r="C202" s="33">
        <v>4</v>
      </c>
      <c r="D202" s="3">
        <v>1621</v>
      </c>
      <c r="E202" s="2">
        <v>0.7</v>
      </c>
      <c r="F202" s="4">
        <v>1.0960648148148148E-2</v>
      </c>
      <c r="G202" s="2">
        <v>111</v>
      </c>
      <c r="H202" s="10">
        <v>104</v>
      </c>
      <c r="I202">
        <v>1</v>
      </c>
      <c r="J202" s="40" t="s">
        <v>52</v>
      </c>
      <c r="K202" s="40" t="s">
        <v>51</v>
      </c>
      <c r="L202" s="55">
        <v>1621</v>
      </c>
      <c r="M202" s="40">
        <v>0.7</v>
      </c>
      <c r="N202" s="14">
        <v>0.65763888888888888</v>
      </c>
      <c r="O202" s="40">
        <v>111</v>
      </c>
    </row>
    <row r="203" spans="2:15" x14ac:dyDescent="0.25">
      <c r="B203" s="12"/>
      <c r="C203" s="33"/>
      <c r="D203" s="3"/>
      <c r="E203" s="2"/>
      <c r="F203" s="4"/>
      <c r="G203" s="2"/>
      <c r="H203" s="10"/>
    </row>
    <row r="204" spans="2:15" x14ac:dyDescent="0.25">
      <c r="B204" s="12"/>
      <c r="C204" s="33"/>
      <c r="D204" s="3"/>
      <c r="E204" s="2"/>
      <c r="F204" s="4"/>
      <c r="G204" s="2"/>
      <c r="H204" s="10"/>
    </row>
    <row r="205" spans="2:15" x14ac:dyDescent="0.25">
      <c r="B205" s="12"/>
      <c r="C205" s="33"/>
      <c r="D205" s="3"/>
      <c r="E205" s="2"/>
      <c r="F205" s="4"/>
      <c r="G205" s="2"/>
      <c r="H205" s="10"/>
      <c r="I205" s="41"/>
      <c r="J205" s="44"/>
      <c r="K205" s="44"/>
      <c r="L205" s="45"/>
      <c r="M205" s="44"/>
      <c r="N205" s="42"/>
      <c r="O205" s="44"/>
    </row>
    <row r="206" spans="2:15" x14ac:dyDescent="0.25">
      <c r="B206" s="12"/>
      <c r="C206" s="33"/>
      <c r="D206" s="3"/>
      <c r="E206" s="2"/>
      <c r="F206" s="4"/>
      <c r="G206" s="2"/>
      <c r="H206" s="10"/>
    </row>
    <row r="207" spans="2:15" x14ac:dyDescent="0.25">
      <c r="B207" s="12"/>
      <c r="C207" s="33"/>
      <c r="D207" s="3"/>
      <c r="E207" s="2"/>
      <c r="F207" s="4"/>
      <c r="G207" s="2"/>
      <c r="H207" s="10"/>
      <c r="I207" s="41"/>
      <c r="J207" s="44"/>
      <c r="K207" s="44"/>
      <c r="L207" s="45"/>
      <c r="M207" s="44"/>
      <c r="N207" s="42"/>
      <c r="O207" s="44"/>
    </row>
    <row r="208" spans="2:15" x14ac:dyDescent="0.25">
      <c r="B208" s="12"/>
      <c r="C208" s="33"/>
      <c r="D208" s="3"/>
      <c r="E208" s="2"/>
      <c r="F208" s="4"/>
      <c r="G208" s="2"/>
      <c r="H208" s="10"/>
      <c r="I208" s="41"/>
      <c r="L208" s="44"/>
      <c r="M208" s="44"/>
      <c r="N208" s="44"/>
      <c r="O208" s="44"/>
    </row>
    <row r="209" spans="2:15" x14ac:dyDescent="0.25">
      <c r="B209" s="12"/>
      <c r="C209" s="33"/>
      <c r="D209" s="3"/>
      <c r="E209" s="2"/>
      <c r="F209" s="4"/>
      <c r="G209" s="2"/>
      <c r="H209" s="10"/>
      <c r="I209" s="41"/>
      <c r="L209" s="45"/>
      <c r="M209" s="44"/>
      <c r="N209" s="42"/>
      <c r="O209" s="44"/>
    </row>
    <row r="210" spans="2:15" x14ac:dyDescent="0.25">
      <c r="B210" s="5" t="s">
        <v>15</v>
      </c>
      <c r="C210" s="5"/>
      <c r="D210" s="5" t="s">
        <v>1</v>
      </c>
      <c r="E210" s="5" t="s">
        <v>7</v>
      </c>
      <c r="F210" s="5" t="s">
        <v>6</v>
      </c>
      <c r="G210" s="11" t="s">
        <v>8</v>
      </c>
      <c r="H210" s="9" t="s">
        <v>2</v>
      </c>
      <c r="I210" s="41"/>
      <c r="L210" s="44"/>
      <c r="M210" s="44"/>
      <c r="N210" s="42"/>
      <c r="O210" s="44"/>
    </row>
    <row r="211" spans="2:15" x14ac:dyDescent="0.25">
      <c r="B211" s="13">
        <f>COUNT(B156:B209)</f>
        <v>47</v>
      </c>
      <c r="D211" s="8">
        <f>SUM(D156:D209)</f>
        <v>112144</v>
      </c>
      <c r="E211" s="6">
        <f>SUM(E156:E209)</f>
        <v>49.150000000000006</v>
      </c>
      <c r="F211" s="38">
        <f>SUM(F156:F209)</f>
        <v>0.74822916666666661</v>
      </c>
      <c r="G211" s="6">
        <f>SUM(G156:G209)</f>
        <v>8305</v>
      </c>
      <c r="I211" s="6" t="s">
        <v>19</v>
      </c>
      <c r="L211" s="44"/>
      <c r="M211" s="44"/>
      <c r="N211" s="42"/>
      <c r="O211" s="44"/>
    </row>
    <row r="212" spans="2:15" ht="15.75" thickBot="1" x14ac:dyDescent="0.3">
      <c r="B212" s="13">
        <f>COUNT(_xlfn.UNIQUE(B156:B209))</f>
        <v>18</v>
      </c>
      <c r="C212" s="35" t="s">
        <v>23</v>
      </c>
      <c r="D212" s="8"/>
      <c r="E212" s="6"/>
      <c r="F212" s="7"/>
      <c r="G212" s="6"/>
      <c r="I212" s="6"/>
      <c r="L212" s="45"/>
      <c r="M212" s="44"/>
      <c r="N212" s="46"/>
      <c r="O212" s="44"/>
    </row>
    <row r="213" spans="2:15" x14ac:dyDescent="0.25">
      <c r="B213" s="19"/>
      <c r="C213" s="36" t="s">
        <v>3</v>
      </c>
      <c r="D213" s="20">
        <f>AVERAGE(D156:D209)</f>
        <v>2386.0425531914893</v>
      </c>
      <c r="E213" s="21">
        <f t="shared" ref="E213:H213" si="3">AVERAGE(E156:E209)</f>
        <v>1.045744680851064</v>
      </c>
      <c r="F213" s="22">
        <f t="shared" si="3"/>
        <v>1.5919769503546097E-2</v>
      </c>
      <c r="G213" s="23">
        <f t="shared" si="3"/>
        <v>176.70212765957447</v>
      </c>
      <c r="H213" s="23">
        <f t="shared" si="3"/>
        <v>107.34042553191489</v>
      </c>
      <c r="I213" s="24" t="s">
        <v>3</v>
      </c>
      <c r="L213" s="45"/>
      <c r="M213" s="44"/>
      <c r="N213" s="46"/>
      <c r="O213" s="44"/>
    </row>
    <row r="214" spans="2:15" x14ac:dyDescent="0.25">
      <c r="B214" s="32" t="s">
        <v>20</v>
      </c>
      <c r="C214" s="32" t="s">
        <v>4</v>
      </c>
      <c r="D214" s="18">
        <f>MIN(D156:D209)</f>
        <v>971</v>
      </c>
      <c r="E214" s="16">
        <f t="shared" ref="E214:H214" si="4">MIN(E156:E209)</f>
        <v>0.42</v>
      </c>
      <c r="F214" s="17">
        <f t="shared" si="4"/>
        <v>6.6898148148148142E-3</v>
      </c>
      <c r="G214" s="15">
        <f t="shared" si="4"/>
        <v>65</v>
      </c>
      <c r="H214" s="15">
        <f t="shared" si="4"/>
        <v>98</v>
      </c>
      <c r="I214" s="25" t="s">
        <v>4</v>
      </c>
      <c r="L214" s="55"/>
      <c r="N214" s="14"/>
    </row>
    <row r="215" spans="2:15" ht="15.75" thickBot="1" x14ac:dyDescent="0.3">
      <c r="B215" s="26"/>
      <c r="C215" s="37" t="s">
        <v>5</v>
      </c>
      <c r="D215" s="27">
        <f>MAX(D156:D209)</f>
        <v>5488</v>
      </c>
      <c r="E215" s="28">
        <f t="shared" ref="E215:H215" si="5">MAX(E156:E209)</f>
        <v>2.42</v>
      </c>
      <c r="F215" s="29">
        <f t="shared" si="5"/>
        <v>3.5185185185185187E-2</v>
      </c>
      <c r="G215" s="30">
        <f t="shared" si="5"/>
        <v>394</v>
      </c>
      <c r="H215" s="30">
        <f t="shared" si="5"/>
        <v>118</v>
      </c>
      <c r="I215" s="31" t="s">
        <v>5</v>
      </c>
    </row>
  </sheetData>
  <sortState xmlns:xlrd2="http://schemas.microsoft.com/office/spreadsheetml/2017/richdata2" ref="I200:P202">
    <sortCondition descending="1" ref="I200:I20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Cals">
                <anchor moveWithCells="1" sizeWithCells="1">
                  <from>
                    <xdr:col>9</xdr:col>
                    <xdr:colOff>857250</xdr:colOff>
                    <xdr:row>0</xdr:row>
                    <xdr:rowOff>28575</xdr:rowOff>
                  </from>
                  <to>
                    <xdr:col>12</xdr:col>
                    <xdr:colOff>19050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8BB3-5653-4631-9481-343B5F0CD166}">
  <sheetPr codeName="Sheet4"/>
  <dimension ref="A1:K23"/>
  <sheetViews>
    <sheetView tabSelected="1" workbookViewId="0">
      <pane ySplit="1" topLeftCell="A2" activePane="bottomLeft" state="frozen"/>
      <selection pane="bottomLeft" activeCell="G12" sqref="G12"/>
    </sheetView>
  </sheetViews>
  <sheetFormatPr defaultRowHeight="15" x14ac:dyDescent="0.25"/>
  <cols>
    <col min="1" max="1" width="10.42578125" bestFit="1" customWidth="1"/>
    <col min="2" max="2" width="5.5703125" bestFit="1" customWidth="1"/>
    <col min="3" max="3" width="10.5703125" customWidth="1"/>
    <col min="4" max="4" width="6.5703125" bestFit="1" customWidth="1"/>
    <col min="5" max="5" width="9.7109375" bestFit="1" customWidth="1"/>
    <col min="6" max="6" width="5.85546875" bestFit="1" customWidth="1"/>
    <col min="7" max="7" width="7.5703125" bestFit="1" customWidth="1"/>
    <col min="8" max="8" width="17.28515625" bestFit="1" customWidth="1"/>
  </cols>
  <sheetData>
    <row r="1" spans="1:11" x14ac:dyDescent="0.25">
      <c r="A1" s="47" t="s">
        <v>0</v>
      </c>
      <c r="B1" s="47"/>
      <c r="C1" s="47" t="s">
        <v>26</v>
      </c>
      <c r="D1" s="47" t="s">
        <v>27</v>
      </c>
      <c r="E1" s="47" t="s">
        <v>28</v>
      </c>
      <c r="F1" s="47" t="s">
        <v>29</v>
      </c>
      <c r="G1" s="47" t="s">
        <v>30</v>
      </c>
      <c r="H1" s="47" t="s">
        <v>42</v>
      </c>
    </row>
    <row r="2" spans="1:11" x14ac:dyDescent="0.25">
      <c r="A2" s="48">
        <v>44136</v>
      </c>
      <c r="B2" s="51"/>
      <c r="C2" s="4">
        <v>6.9907407407407409E-3</v>
      </c>
      <c r="D2" s="2">
        <v>86</v>
      </c>
      <c r="E2" s="49">
        <f t="shared" ref="E2:E10" si="0">IF((13*INT(C2*1440)*D2)/5280=0,"",13*INT(C2*1440)*D2/5280)</f>
        <v>2.1174242424242422</v>
      </c>
      <c r="F2" s="50">
        <v>107</v>
      </c>
      <c r="G2" s="2">
        <v>115</v>
      </c>
      <c r="H2" s="51"/>
    </row>
    <row r="3" spans="1:11" x14ac:dyDescent="0.25">
      <c r="A3" s="48">
        <v>44137</v>
      </c>
      <c r="B3" s="51"/>
      <c r="C3" s="4">
        <v>7.2337962962962963E-3</v>
      </c>
      <c r="D3" s="2">
        <v>81</v>
      </c>
      <c r="E3" s="49">
        <f t="shared" si="0"/>
        <v>1.9943181818181819</v>
      </c>
      <c r="F3" s="50">
        <v>134</v>
      </c>
      <c r="G3" s="2">
        <v>99</v>
      </c>
      <c r="H3" s="51"/>
    </row>
    <row r="4" spans="1:11" x14ac:dyDescent="0.25">
      <c r="A4" s="48">
        <v>44139</v>
      </c>
      <c r="B4" s="51"/>
      <c r="C4" s="4">
        <v>8.518518518518519E-3</v>
      </c>
      <c r="D4" s="2">
        <v>83</v>
      </c>
      <c r="E4" s="49">
        <f t="shared" si="0"/>
        <v>2.4522727272727272</v>
      </c>
      <c r="F4" s="50">
        <v>129</v>
      </c>
      <c r="G4" s="2">
        <v>96</v>
      </c>
      <c r="H4" s="51"/>
    </row>
    <row r="5" spans="1:11" x14ac:dyDescent="0.25">
      <c r="A5" s="48">
        <v>44141</v>
      </c>
      <c r="B5" s="51"/>
      <c r="C5" s="4">
        <v>9.8148148148148144E-3</v>
      </c>
      <c r="D5" s="2">
        <v>84</v>
      </c>
      <c r="E5" s="49">
        <f t="shared" si="0"/>
        <v>2.8954545454545455</v>
      </c>
      <c r="F5" s="50">
        <v>132</v>
      </c>
      <c r="G5" s="2">
        <v>125</v>
      </c>
      <c r="H5" s="51"/>
    </row>
    <row r="6" spans="1:11" x14ac:dyDescent="0.25">
      <c r="A6" s="48">
        <v>44143</v>
      </c>
      <c r="B6" s="2"/>
      <c r="C6" s="4">
        <v>9.6643518518518511E-3</v>
      </c>
      <c r="D6" s="2">
        <v>88</v>
      </c>
      <c r="E6" s="49">
        <f t="shared" si="0"/>
        <v>2.8166666666666669</v>
      </c>
      <c r="F6" s="2">
        <v>141</v>
      </c>
      <c r="G6" s="2">
        <v>134</v>
      </c>
      <c r="H6" s="2"/>
    </row>
    <row r="7" spans="1:11" x14ac:dyDescent="0.25">
      <c r="A7" s="48">
        <v>44144</v>
      </c>
      <c r="B7" s="2"/>
      <c r="C7" s="4">
        <v>9.1550925925925931E-3</v>
      </c>
      <c r="D7" s="2">
        <v>86</v>
      </c>
      <c r="E7" s="49">
        <f t="shared" si="0"/>
        <v>2.752651515151515</v>
      </c>
      <c r="F7" s="2">
        <v>138</v>
      </c>
      <c r="G7" s="2">
        <v>106</v>
      </c>
      <c r="H7" s="2"/>
    </row>
    <row r="8" spans="1:11" x14ac:dyDescent="0.25">
      <c r="A8" s="48">
        <v>44146</v>
      </c>
      <c r="B8" s="2"/>
      <c r="C8" s="4">
        <v>1.0497685185185186E-2</v>
      </c>
      <c r="D8" s="2">
        <v>86</v>
      </c>
      <c r="E8" s="49">
        <f t="shared" si="0"/>
        <v>3.1761363636363638</v>
      </c>
      <c r="F8" s="2">
        <v>154</v>
      </c>
      <c r="G8" s="2">
        <v>154</v>
      </c>
      <c r="H8" s="2"/>
    </row>
    <row r="9" spans="1:11" x14ac:dyDescent="0.25">
      <c r="A9" s="48">
        <v>44147</v>
      </c>
      <c r="B9" s="2"/>
      <c r="C9" s="4">
        <v>7.4421296296296293E-3</v>
      </c>
      <c r="D9" s="2">
        <v>80</v>
      </c>
      <c r="E9" s="49">
        <f t="shared" si="0"/>
        <v>1.9696969696969697</v>
      </c>
      <c r="F9" s="2">
        <v>121</v>
      </c>
      <c r="G9" s="2">
        <v>119</v>
      </c>
      <c r="H9" s="2"/>
    </row>
    <row r="10" spans="1:11" x14ac:dyDescent="0.25">
      <c r="A10" s="48">
        <v>44148</v>
      </c>
      <c r="B10" s="2"/>
      <c r="C10" s="4">
        <v>8.4259259259259253E-3</v>
      </c>
      <c r="D10" s="2">
        <v>82</v>
      </c>
      <c r="E10" s="49">
        <f t="shared" si="0"/>
        <v>2.4227272727272728</v>
      </c>
      <c r="F10" s="2">
        <v>134</v>
      </c>
      <c r="G10" s="2">
        <v>171</v>
      </c>
      <c r="H10" s="2"/>
    </row>
    <row r="11" spans="1:11" x14ac:dyDescent="0.25">
      <c r="A11" s="48">
        <v>44154</v>
      </c>
      <c r="B11" s="2"/>
      <c r="C11" s="4">
        <v>9.8495370370370369E-3</v>
      </c>
      <c r="D11" s="2">
        <v>82</v>
      </c>
      <c r="E11" s="49">
        <f>IF((13*INT(C11*1440)*D11)/5280=0,"",13*INT(C11*1440)*D11/5280)</f>
        <v>2.8265151515151516</v>
      </c>
      <c r="F11" s="2">
        <v>148</v>
      </c>
      <c r="G11" s="2">
        <v>140</v>
      </c>
      <c r="H11" s="2"/>
    </row>
    <row r="12" spans="1:11" x14ac:dyDescent="0.25">
      <c r="A12" s="48">
        <v>44155</v>
      </c>
      <c r="B12" s="2"/>
      <c r="C12" s="4">
        <v>1.0601851851851854E-2</v>
      </c>
      <c r="D12" s="2">
        <v>88</v>
      </c>
      <c r="E12" s="49">
        <f t="shared" ref="E12:E17" si="1">IF((13*INT(C12*1440)*D12)/5280=0,"",13*INT(C12*1440)*D12/5280)</f>
        <v>3.25</v>
      </c>
      <c r="F12" s="2">
        <v>140</v>
      </c>
      <c r="G12" s="2">
        <v>148</v>
      </c>
      <c r="H12" s="2"/>
    </row>
    <row r="13" spans="1:11" x14ac:dyDescent="0.25">
      <c r="A13" s="48"/>
      <c r="B13" s="2"/>
      <c r="C13" s="2"/>
      <c r="D13" s="2"/>
      <c r="E13" s="49" t="str">
        <f t="shared" si="1"/>
        <v/>
      </c>
      <c r="F13" s="2"/>
      <c r="G13" s="2"/>
      <c r="H13" s="2"/>
    </row>
    <row r="14" spans="1:11" x14ac:dyDescent="0.25">
      <c r="A14" s="48"/>
      <c r="B14" s="2"/>
      <c r="C14" s="2"/>
      <c r="D14" s="2"/>
      <c r="E14" s="49" t="str">
        <f t="shared" si="1"/>
        <v/>
      </c>
      <c r="F14" s="2"/>
      <c r="G14" s="2"/>
      <c r="H14" s="2"/>
      <c r="K14" s="35"/>
    </row>
    <row r="15" spans="1:11" x14ac:dyDescent="0.25">
      <c r="A15" s="48"/>
      <c r="B15" s="2"/>
      <c r="C15" s="2"/>
      <c r="D15" s="2"/>
      <c r="E15" s="49" t="str">
        <f t="shared" si="1"/>
        <v/>
      </c>
      <c r="F15" s="2"/>
      <c r="G15" s="2"/>
      <c r="H15" s="2"/>
    </row>
    <row r="16" spans="1:11" x14ac:dyDescent="0.25">
      <c r="A16" s="48"/>
      <c r="B16" s="2"/>
      <c r="C16" s="2"/>
      <c r="D16" s="2"/>
      <c r="E16" s="49" t="str">
        <f t="shared" si="1"/>
        <v/>
      </c>
      <c r="F16" s="2"/>
      <c r="G16" s="2"/>
      <c r="H16" s="2"/>
    </row>
    <row r="17" spans="1:8" x14ac:dyDescent="0.25">
      <c r="A17" s="48"/>
      <c r="B17" s="2"/>
      <c r="C17" s="2"/>
      <c r="D17" s="2"/>
      <c r="E17" s="49" t="str">
        <f t="shared" si="1"/>
        <v/>
      </c>
      <c r="F17" s="2"/>
      <c r="G17" s="2"/>
      <c r="H17" s="2"/>
    </row>
    <row r="18" spans="1:8" x14ac:dyDescent="0.25">
      <c r="A18" s="5" t="s">
        <v>34</v>
      </c>
      <c r="B18" s="9"/>
      <c r="C18" s="47" t="s">
        <v>26</v>
      </c>
      <c r="D18" s="47" t="s">
        <v>27</v>
      </c>
      <c r="E18" s="47" t="s">
        <v>28</v>
      </c>
      <c r="F18" s="47" t="s">
        <v>29</v>
      </c>
      <c r="G18" s="11" t="s">
        <v>8</v>
      </c>
      <c r="H18" s="9" t="s">
        <v>2</v>
      </c>
    </row>
    <row r="19" spans="1:8" x14ac:dyDescent="0.25">
      <c r="A19" s="13">
        <f>COUNT(A2:A17)</f>
        <v>11</v>
      </c>
      <c r="C19" s="71">
        <f>SUM(C2:C17)</f>
        <v>9.8194444444444431E-2</v>
      </c>
      <c r="D19" s="8">
        <f>AVERAGE(D2:D17)</f>
        <v>84.181818181818187</v>
      </c>
      <c r="E19" s="56">
        <f>SUM(E2:E17)</f>
        <v>28.673863636363635</v>
      </c>
      <c r="F19" s="8">
        <f>AVERAGE(F2:F17)</f>
        <v>134.36363636363637</v>
      </c>
      <c r="G19" s="56">
        <f>SUM(G2:G17)</f>
        <v>1407</v>
      </c>
    </row>
    <row r="20" spans="1:8" ht="15.75" thickBot="1" x14ac:dyDescent="0.3">
      <c r="A20" s="13"/>
      <c r="B20" s="35"/>
      <c r="C20" s="8"/>
      <c r="D20" s="6"/>
      <c r="E20" s="7"/>
      <c r="F20" s="6"/>
      <c r="H20" s="6"/>
    </row>
    <row r="21" spans="1:8" x14ac:dyDescent="0.25">
      <c r="A21" s="19"/>
      <c r="B21" s="63" t="s">
        <v>3</v>
      </c>
      <c r="C21" s="66">
        <f>AVERAGE(C2:C17)</f>
        <v>8.9267676767676753E-3</v>
      </c>
      <c r="D21" s="23">
        <f>AVERAGE(D2:D17)</f>
        <v>84.181818181818187</v>
      </c>
      <c r="E21" s="57">
        <f>AVERAGE(E2:E17)</f>
        <v>2.6067148760330578</v>
      </c>
      <c r="F21" s="23">
        <f>AVERAGE(F2:F17)</f>
        <v>134.36363636363637</v>
      </c>
      <c r="G21" s="67">
        <f>AVERAGE(G2:G17)</f>
        <v>127.90909090909091</v>
      </c>
      <c r="H21" s="72" t="s">
        <v>3</v>
      </c>
    </row>
    <row r="22" spans="1:8" x14ac:dyDescent="0.25">
      <c r="A22" s="32" t="s">
        <v>35</v>
      </c>
      <c r="B22" s="64" t="s">
        <v>4</v>
      </c>
      <c r="C22" s="4">
        <f>MIN(C2:C17)</f>
        <v>6.9907407407407409E-3</v>
      </c>
      <c r="D22" s="15">
        <f>MIN(D2:D17)</f>
        <v>80</v>
      </c>
      <c r="E22" s="49">
        <f>MIN(E2:E17)</f>
        <v>1.9696969696969697</v>
      </c>
      <c r="F22" s="15">
        <f>MIN(F2:F17)</f>
        <v>107</v>
      </c>
      <c r="G22" s="68">
        <f>MIN(G2:G17)</f>
        <v>96</v>
      </c>
      <c r="H22" s="73" t="s">
        <v>4</v>
      </c>
    </row>
    <row r="23" spans="1:8" ht="15.75" thickBot="1" x14ac:dyDescent="0.3">
      <c r="A23" s="26"/>
      <c r="B23" s="65" t="s">
        <v>5</v>
      </c>
      <c r="C23" s="69">
        <f>MAX(C2:C17)</f>
        <v>1.0601851851851854E-2</v>
      </c>
      <c r="D23" s="30">
        <f>MAX(D2:D17)</f>
        <v>88</v>
      </c>
      <c r="E23" s="58">
        <f>MAX(E2:E17)</f>
        <v>3.25</v>
      </c>
      <c r="F23" s="30">
        <f>MAX(F2:F17)</f>
        <v>154</v>
      </c>
      <c r="G23" s="70">
        <f>MAX(G2:G17)</f>
        <v>171</v>
      </c>
      <c r="H23" s="74" t="s">
        <v>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CCBDD-A396-444C-A6BC-ACF352CD46BB}">
  <sheetPr codeName="Sheet3"/>
  <dimension ref="A1:G25"/>
  <sheetViews>
    <sheetView workbookViewId="0">
      <selection activeCell="K9" sqref="K9"/>
    </sheetView>
  </sheetViews>
  <sheetFormatPr defaultRowHeight="15" x14ac:dyDescent="0.25"/>
  <cols>
    <col min="1" max="7" width="12.85546875" customWidth="1"/>
  </cols>
  <sheetData>
    <row r="1" spans="1:7" x14ac:dyDescent="0.25">
      <c r="A1" t="s">
        <v>33</v>
      </c>
    </row>
    <row r="2" spans="1:7" x14ac:dyDescent="0.25">
      <c r="A2" s="52" t="s">
        <v>0</v>
      </c>
      <c r="B2" s="52" t="s">
        <v>22</v>
      </c>
      <c r="C2" s="52" t="s">
        <v>9</v>
      </c>
      <c r="D2" s="53" t="s">
        <v>10</v>
      </c>
      <c r="E2" s="52" t="s">
        <v>11</v>
      </c>
      <c r="F2" s="53" t="s">
        <v>12</v>
      </c>
      <c r="G2" s="54" t="s">
        <v>13</v>
      </c>
    </row>
    <row r="3" spans="1:7" ht="30" customHeight="1" x14ac:dyDescent="0.25">
      <c r="A3" s="12"/>
      <c r="B3" s="33"/>
      <c r="C3" s="3"/>
      <c r="D3" s="2"/>
      <c r="E3" s="4"/>
      <c r="F3" s="2"/>
      <c r="G3" s="2"/>
    </row>
    <row r="4" spans="1:7" ht="30" customHeight="1" x14ac:dyDescent="0.25">
      <c r="A4" s="12"/>
      <c r="B4" s="33"/>
      <c r="C4" s="3"/>
      <c r="D4" s="2"/>
      <c r="E4" s="4"/>
      <c r="F4" s="2"/>
      <c r="G4" s="2"/>
    </row>
    <row r="5" spans="1:7" ht="30" customHeight="1" x14ac:dyDescent="0.25">
      <c r="A5" s="12"/>
      <c r="B5" s="33"/>
      <c r="C5" s="3"/>
      <c r="D5" s="2"/>
      <c r="E5" s="4"/>
      <c r="F5" s="2"/>
      <c r="G5" s="2"/>
    </row>
    <row r="6" spans="1:7" ht="30" customHeight="1" x14ac:dyDescent="0.25">
      <c r="A6" s="12"/>
      <c r="B6" s="33"/>
      <c r="C6" s="3"/>
      <c r="D6" s="2"/>
      <c r="E6" s="4"/>
      <c r="F6" s="2"/>
      <c r="G6" s="2"/>
    </row>
    <row r="7" spans="1:7" ht="30" customHeight="1" x14ac:dyDescent="0.25">
      <c r="A7" s="12"/>
      <c r="B7" s="33"/>
      <c r="C7" s="3"/>
      <c r="D7" s="2"/>
      <c r="E7" s="4"/>
      <c r="F7" s="2"/>
      <c r="G7" s="2"/>
    </row>
    <row r="8" spans="1:7" ht="30" customHeight="1" x14ac:dyDescent="0.25">
      <c r="A8" s="12"/>
      <c r="B8" s="33"/>
      <c r="C8" s="3"/>
      <c r="D8" s="2"/>
      <c r="E8" s="4"/>
      <c r="F8" s="2"/>
      <c r="G8" s="2"/>
    </row>
    <row r="9" spans="1:7" ht="30" customHeight="1" x14ac:dyDescent="0.25">
      <c r="A9" s="12"/>
      <c r="B9" s="33"/>
      <c r="C9" s="3"/>
      <c r="D9" s="2"/>
      <c r="E9" s="4"/>
      <c r="F9" s="2"/>
      <c r="G9" s="2"/>
    </row>
    <row r="10" spans="1:7" ht="30" customHeight="1" x14ac:dyDescent="0.25">
      <c r="A10" s="12"/>
      <c r="B10" s="33"/>
      <c r="C10" s="3"/>
      <c r="D10" s="2"/>
      <c r="E10" s="4"/>
      <c r="F10" s="2"/>
      <c r="G10" s="2"/>
    </row>
    <row r="11" spans="1:7" ht="30" customHeight="1" x14ac:dyDescent="0.25">
      <c r="A11" s="12"/>
      <c r="B11" s="33"/>
      <c r="C11" s="3"/>
      <c r="D11" s="2"/>
      <c r="E11" s="4"/>
      <c r="F11" s="2"/>
      <c r="G11" s="2"/>
    </row>
    <row r="12" spans="1:7" ht="30" customHeight="1" x14ac:dyDescent="0.25">
      <c r="A12" s="12"/>
      <c r="B12" s="33"/>
      <c r="C12" s="3"/>
      <c r="D12" s="2"/>
      <c r="E12" s="4"/>
      <c r="F12" s="2"/>
      <c r="G12" s="2"/>
    </row>
    <row r="14" spans="1:7" x14ac:dyDescent="0.25">
      <c r="A14" t="s">
        <v>32</v>
      </c>
    </row>
    <row r="15" spans="1:7" x14ac:dyDescent="0.25">
      <c r="A15" s="47" t="s">
        <v>0</v>
      </c>
      <c r="B15" s="47" t="s">
        <v>26</v>
      </c>
      <c r="C15" s="47" t="s">
        <v>27</v>
      </c>
      <c r="D15" s="47" t="s">
        <v>28</v>
      </c>
      <c r="E15" s="47" t="s">
        <v>29</v>
      </c>
      <c r="F15" s="47" t="s">
        <v>30</v>
      </c>
      <c r="G15" s="47" t="s">
        <v>31</v>
      </c>
    </row>
    <row r="16" spans="1:7" ht="30" customHeight="1" x14ac:dyDescent="0.25">
      <c r="A16" s="12"/>
      <c r="B16" s="33"/>
      <c r="C16" s="3"/>
      <c r="D16" s="2"/>
      <c r="E16" s="4"/>
      <c r="F16" s="2"/>
      <c r="G16" s="2"/>
    </row>
    <row r="17" spans="1:7" ht="30" customHeight="1" x14ac:dyDescent="0.25">
      <c r="A17" s="12"/>
      <c r="B17" s="33"/>
      <c r="C17" s="3"/>
      <c r="D17" s="2"/>
      <c r="E17" s="4"/>
      <c r="F17" s="2"/>
      <c r="G17" s="2"/>
    </row>
    <row r="18" spans="1:7" ht="30" customHeight="1" x14ac:dyDescent="0.25">
      <c r="A18" s="12"/>
      <c r="B18" s="33"/>
      <c r="C18" s="3"/>
      <c r="D18" s="2"/>
      <c r="E18" s="4"/>
      <c r="F18" s="2"/>
      <c r="G18" s="2"/>
    </row>
    <row r="19" spans="1:7" ht="30" customHeight="1" x14ac:dyDescent="0.25">
      <c r="A19" s="12"/>
      <c r="B19" s="33"/>
      <c r="C19" s="3"/>
      <c r="D19" s="2"/>
      <c r="E19" s="4"/>
      <c r="F19" s="2"/>
      <c r="G19" s="2"/>
    </row>
    <row r="20" spans="1:7" ht="30" customHeight="1" x14ac:dyDescent="0.25">
      <c r="A20" s="12"/>
      <c r="B20" s="33"/>
      <c r="C20" s="3"/>
      <c r="D20" s="2"/>
      <c r="E20" s="4"/>
      <c r="F20" s="2"/>
      <c r="G20" s="2"/>
    </row>
    <row r="21" spans="1:7" ht="30" customHeight="1" x14ac:dyDescent="0.25">
      <c r="A21" s="12"/>
      <c r="B21" s="33"/>
      <c r="C21" s="3"/>
      <c r="D21" s="2"/>
      <c r="E21" s="4"/>
      <c r="F21" s="2"/>
      <c r="G21" s="2"/>
    </row>
    <row r="22" spans="1:7" ht="30" customHeight="1" x14ac:dyDescent="0.25">
      <c r="A22" s="12"/>
      <c r="B22" s="33"/>
      <c r="C22" s="3"/>
      <c r="D22" s="2"/>
      <c r="E22" s="4"/>
      <c r="F22" s="2"/>
      <c r="G22" s="2"/>
    </row>
    <row r="23" spans="1:7" ht="30" customHeight="1" x14ac:dyDescent="0.25">
      <c r="A23" s="12"/>
      <c r="B23" s="33"/>
      <c r="C23" s="3"/>
      <c r="D23" s="2"/>
      <c r="E23" s="4"/>
      <c r="F23" s="2"/>
      <c r="G23" s="2"/>
    </row>
    <row r="24" spans="1:7" ht="30" customHeight="1" x14ac:dyDescent="0.25">
      <c r="A24" s="12"/>
      <c r="B24" s="33"/>
      <c r="C24" s="3"/>
      <c r="D24" s="2"/>
      <c r="E24" s="4"/>
      <c r="F24" s="2"/>
      <c r="G24" s="2"/>
    </row>
    <row r="25" spans="1:7" ht="30" customHeight="1" x14ac:dyDescent="0.25">
      <c r="A25" s="12"/>
      <c r="B25" s="33"/>
      <c r="C25" s="3"/>
      <c r="D25" s="2"/>
      <c r="E25" s="4"/>
      <c r="F25" s="2"/>
      <c r="G2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DF5-8A65-46C9-8102-6AF0220AE3F6}">
  <dimension ref="A1:Q25"/>
  <sheetViews>
    <sheetView workbookViewId="0">
      <selection activeCell="G2" sqref="G2"/>
    </sheetView>
  </sheetViews>
  <sheetFormatPr defaultRowHeight="15" x14ac:dyDescent="0.25"/>
  <sheetData>
    <row r="1" spans="1:17" x14ac:dyDescent="0.25">
      <c r="A1" s="61" t="s">
        <v>41</v>
      </c>
      <c r="B1" s="61" t="s">
        <v>15</v>
      </c>
      <c r="C1" s="61" t="s">
        <v>40</v>
      </c>
      <c r="D1" s="61" t="s">
        <v>1</v>
      </c>
      <c r="E1" s="61" t="s">
        <v>7</v>
      </c>
      <c r="F1" s="61" t="s">
        <v>6</v>
      </c>
      <c r="G1" s="60" t="s">
        <v>8</v>
      </c>
      <c r="H1" s="59" t="s">
        <v>2</v>
      </c>
    </row>
    <row r="2" spans="1:17" x14ac:dyDescent="0.25">
      <c r="A2" s="2" t="s">
        <v>39</v>
      </c>
      <c r="B2" s="2" cm="1">
        <f t="array" ref="B2">SUMPRODUCT(1*(MONTH(DATE_20)=9))</f>
        <v>36</v>
      </c>
      <c r="C2" s="2">
        <f>COUNT(_xlfn.UNIQUE(MASTER!A2:A37))</f>
        <v>15</v>
      </c>
      <c r="D2" s="3">
        <f>SUM(MASTER!C2:C37)</f>
        <v>59963</v>
      </c>
      <c r="E2" s="76">
        <f>SUM(MASTER!D2:D37)</f>
        <v>25.630000000000003</v>
      </c>
      <c r="F2" s="4">
        <f>SUM(MASTER!E2:E37)</f>
        <v>0.43537037037037041</v>
      </c>
      <c r="G2" s="76">
        <f>SUM(MASTER!F2:F37)</f>
        <v>4990</v>
      </c>
      <c r="H2" s="2"/>
    </row>
    <row r="3" spans="1:17" x14ac:dyDescent="0.25">
      <c r="A3" s="2" t="s">
        <v>38</v>
      </c>
      <c r="B3" s="2" cm="1">
        <f t="array" ref="B3">SUMPRODUCT(1*(MONTH(DATE_20)=10))</f>
        <v>97</v>
      </c>
      <c r="C3" s="2" cm="1">
        <f t="array" ref="C3">SUMPRODUCT(1*(MONTH(DATE_20)=10))</f>
        <v>97</v>
      </c>
      <c r="D3" s="2"/>
      <c r="E3" s="2"/>
      <c r="F3" s="2"/>
      <c r="G3" s="2"/>
      <c r="H3" s="2"/>
    </row>
    <row r="4" spans="1:17" x14ac:dyDescent="0.25">
      <c r="A4" s="2" t="s">
        <v>37</v>
      </c>
      <c r="B4" s="2" cm="1">
        <f t="array" ref="B4">SUMPRODUCT(1*(MONTH(DATE_20)=11))</f>
        <v>37</v>
      </c>
      <c r="C4" s="2" cm="1">
        <f t="array" ref="C4">SUMPRODUCT(1*(MONTH(DATE_20)=11))</f>
        <v>37</v>
      </c>
      <c r="D4" s="2"/>
      <c r="E4" s="2"/>
      <c r="F4" s="2"/>
      <c r="G4" s="2"/>
      <c r="H4" s="2"/>
    </row>
    <row r="5" spans="1:17" x14ac:dyDescent="0.25">
      <c r="B5" cm="1">
        <f t="array" ref="B5">SUMPRODUCT(1*(MONTH(MASTER!A2:A178)=11))</f>
        <v>37</v>
      </c>
    </row>
    <row r="6" spans="1:17" x14ac:dyDescent="0.25">
      <c r="B6">
        <f>SUM(B2:B4)</f>
        <v>170</v>
      </c>
      <c r="C6">
        <f>SUM(C2:C4)</f>
        <v>149</v>
      </c>
    </row>
    <row r="9" spans="1:17" x14ac:dyDescent="0.25">
      <c r="J9" t="s">
        <v>15</v>
      </c>
      <c r="L9" t="s">
        <v>1</v>
      </c>
      <c r="M9" t="s">
        <v>7</v>
      </c>
      <c r="N9" t="s">
        <v>6</v>
      </c>
      <c r="O9" t="s">
        <v>8</v>
      </c>
      <c r="P9" t="s">
        <v>2</v>
      </c>
    </row>
    <row r="10" spans="1:17" x14ac:dyDescent="0.25">
      <c r="A10" s="75" t="s">
        <v>43</v>
      </c>
      <c r="B10">
        <f>COUNT(MASTER!A2:A179)</f>
        <v>170</v>
      </c>
      <c r="J10">
        <v>36</v>
      </c>
      <c r="L10">
        <v>59963</v>
      </c>
      <c r="M10">
        <v>25.630000000000003</v>
      </c>
      <c r="N10">
        <v>0.43537037037037041</v>
      </c>
      <c r="O10">
        <v>4990</v>
      </c>
    </row>
    <row r="11" spans="1:17" x14ac:dyDescent="0.25">
      <c r="A11" t="s">
        <v>44</v>
      </c>
      <c r="B11">
        <f>COUNTIF(MASTER!B2:B179,"=1")</f>
        <v>58</v>
      </c>
      <c r="J11">
        <v>15</v>
      </c>
      <c r="K11" t="s">
        <v>23</v>
      </c>
    </row>
    <row r="12" spans="1:17" x14ac:dyDescent="0.25">
      <c r="A12" s="62"/>
      <c r="K12" t="s">
        <v>3</v>
      </c>
      <c r="L12">
        <v>1665.6388888888889</v>
      </c>
      <c r="M12">
        <v>0.73228571428571432</v>
      </c>
      <c r="N12">
        <v>1.2093621399176956E-2</v>
      </c>
      <c r="O12">
        <v>138.61111111111111</v>
      </c>
      <c r="P12">
        <v>113.55555555555556</v>
      </c>
      <c r="Q12" t="s">
        <v>3</v>
      </c>
    </row>
    <row r="13" spans="1:17" x14ac:dyDescent="0.25">
      <c r="A13" s="62"/>
      <c r="J13" t="s">
        <v>21</v>
      </c>
      <c r="K13" t="s">
        <v>4</v>
      </c>
      <c r="L13">
        <v>307</v>
      </c>
      <c r="M13">
        <v>0.14000000000000001</v>
      </c>
      <c r="N13">
        <v>2.673611111111111E-3</v>
      </c>
      <c r="O13">
        <v>25</v>
      </c>
      <c r="P13">
        <v>86</v>
      </c>
      <c r="Q13" t="s">
        <v>4</v>
      </c>
    </row>
    <row r="14" spans="1:17" x14ac:dyDescent="0.25">
      <c r="A14" s="62"/>
      <c r="K14" t="s">
        <v>5</v>
      </c>
      <c r="L14">
        <v>4746</v>
      </c>
      <c r="M14">
        <v>2.36</v>
      </c>
      <c r="N14">
        <v>3.107638888888889E-2</v>
      </c>
      <c r="O14">
        <v>418</v>
      </c>
      <c r="P14">
        <v>131</v>
      </c>
      <c r="Q14" t="s">
        <v>5</v>
      </c>
    </row>
    <row r="15" spans="1:17" x14ac:dyDescent="0.25">
      <c r="A15" s="62"/>
    </row>
    <row r="16" spans="1:17" x14ac:dyDescent="0.25">
      <c r="A16" s="62"/>
    </row>
    <row r="17" spans="1:1" x14ac:dyDescent="0.25">
      <c r="A17" s="62"/>
    </row>
    <row r="18" spans="1:1" x14ac:dyDescent="0.25">
      <c r="A18" s="62"/>
    </row>
    <row r="19" spans="1:1" x14ac:dyDescent="0.25">
      <c r="A19" s="62"/>
    </row>
    <row r="20" spans="1:1" x14ac:dyDescent="0.25">
      <c r="A20" s="62"/>
    </row>
    <row r="21" spans="1:1" x14ac:dyDescent="0.25">
      <c r="A21" s="62"/>
    </row>
    <row r="22" spans="1:1" x14ac:dyDescent="0.25">
      <c r="A22" s="62"/>
    </row>
    <row r="23" spans="1:1" x14ac:dyDescent="0.25">
      <c r="A23" s="62"/>
    </row>
    <row r="24" spans="1:1" x14ac:dyDescent="0.25">
      <c r="A24" s="62"/>
    </row>
    <row r="25" spans="1:1" x14ac:dyDescent="0.25">
      <c r="A25" s="62"/>
    </row>
  </sheetData>
  <pageMargins left="0.7" right="0.7" top="0.75" bottom="0.75" header="0.3" footer="0.3"/>
  <pageSetup orientation="portrait" verticalDpi="0" r:id="rId1"/>
  <ignoredErrors>
    <ignoredError sqref="C2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55280-644D-4335-A52F-8D09C2802ECD}">
  <dimension ref="A1:H179"/>
  <sheetViews>
    <sheetView topLeftCell="A37" workbookViewId="0">
      <selection activeCell="A37" sqref="A2:A37"/>
    </sheetView>
  </sheetViews>
  <sheetFormatPr defaultRowHeight="15" x14ac:dyDescent="0.25"/>
  <cols>
    <col min="1" max="1" width="12" customWidth="1"/>
    <col min="2" max="2" width="5.5703125" style="35" bestFit="1" customWidth="1"/>
    <col min="3" max="3" width="7.5703125" bestFit="1" customWidth="1"/>
    <col min="4" max="4" width="7.140625" bestFit="1" customWidth="1"/>
    <col min="5" max="5" width="9.85546875" customWidth="1"/>
    <col min="6" max="7" width="6" bestFit="1" customWidth="1"/>
  </cols>
  <sheetData>
    <row r="1" spans="1:8" x14ac:dyDescent="0.25">
      <c r="A1" s="5" t="s">
        <v>0</v>
      </c>
      <c r="B1" s="5" t="s">
        <v>22</v>
      </c>
      <c r="C1" s="5" t="s">
        <v>9</v>
      </c>
      <c r="D1" s="11" t="s">
        <v>10</v>
      </c>
      <c r="E1" s="5" t="s">
        <v>11</v>
      </c>
      <c r="F1" s="11" t="s">
        <v>12</v>
      </c>
      <c r="G1" s="59" t="s">
        <v>13</v>
      </c>
    </row>
    <row r="2" spans="1:8" x14ac:dyDescent="0.25">
      <c r="A2" s="12">
        <v>44088</v>
      </c>
      <c r="B2" s="33">
        <v>1</v>
      </c>
      <c r="C2" s="3">
        <v>307</v>
      </c>
      <c r="D2" s="2">
        <v>0.14000000000000001</v>
      </c>
      <c r="E2" s="4">
        <v>2.673611111111111E-3</v>
      </c>
      <c r="F2" s="2">
        <v>25</v>
      </c>
      <c r="G2" s="2">
        <v>99</v>
      </c>
      <c r="H2" s="40">
        <f>INT(A2)</f>
        <v>44088</v>
      </c>
    </row>
    <row r="3" spans="1:8" x14ac:dyDescent="0.25">
      <c r="A3" s="12">
        <v>44091</v>
      </c>
      <c r="B3" s="33">
        <v>1</v>
      </c>
      <c r="C3" s="3">
        <v>584</v>
      </c>
      <c r="D3" s="2">
        <v>0.26</v>
      </c>
      <c r="E3" s="4">
        <v>4.386574074074074E-3</v>
      </c>
      <c r="F3" s="2">
        <v>48</v>
      </c>
      <c r="G3" s="2">
        <v>106</v>
      </c>
      <c r="H3" s="40">
        <f>INT(A3)</f>
        <v>44091</v>
      </c>
    </row>
    <row r="4" spans="1:8" x14ac:dyDescent="0.25">
      <c r="A4" s="12">
        <v>44091</v>
      </c>
      <c r="B4" s="33">
        <v>2</v>
      </c>
      <c r="C4" s="3">
        <v>829</v>
      </c>
      <c r="D4" s="2">
        <v>0.36</v>
      </c>
      <c r="E4" s="4">
        <v>6.0185185185185177E-3</v>
      </c>
      <c r="F4" s="2">
        <v>76</v>
      </c>
      <c r="G4" s="2">
        <v>111</v>
      </c>
      <c r="H4" s="40">
        <f>INT(A4)</f>
        <v>44091</v>
      </c>
    </row>
    <row r="5" spans="1:8" x14ac:dyDescent="0.25">
      <c r="A5" s="12">
        <v>44091</v>
      </c>
      <c r="B5" s="33">
        <v>3</v>
      </c>
      <c r="C5" s="3">
        <v>1153</v>
      </c>
      <c r="D5" s="2">
        <v>0.51</v>
      </c>
      <c r="E5" s="4">
        <v>8.2986111111111108E-3</v>
      </c>
      <c r="F5" s="2">
        <v>97</v>
      </c>
      <c r="G5" s="2">
        <v>109</v>
      </c>
      <c r="H5" s="40">
        <f t="shared" ref="H5:H41" si="0">INT(A5)</f>
        <v>44091</v>
      </c>
    </row>
    <row r="6" spans="1:8" x14ac:dyDescent="0.25">
      <c r="A6" s="12">
        <v>44092</v>
      </c>
      <c r="B6" s="33">
        <v>1</v>
      </c>
      <c r="C6" s="3">
        <v>1808</v>
      </c>
      <c r="D6" s="2">
        <v>0.8</v>
      </c>
      <c r="E6" s="4">
        <v>1.2326388888888888E-2</v>
      </c>
      <c r="F6" s="2">
        <v>152</v>
      </c>
      <c r="G6" s="2">
        <v>111</v>
      </c>
      <c r="H6" s="40">
        <f t="shared" si="0"/>
        <v>44092</v>
      </c>
    </row>
    <row r="7" spans="1:8" x14ac:dyDescent="0.25">
      <c r="A7" s="12">
        <v>44092</v>
      </c>
      <c r="B7" s="33">
        <v>2</v>
      </c>
      <c r="C7" s="3">
        <v>1058</v>
      </c>
      <c r="D7" s="2">
        <v>0.47</v>
      </c>
      <c r="E7" s="4">
        <v>7.743055555555556E-3</v>
      </c>
      <c r="F7" s="2">
        <v>94</v>
      </c>
      <c r="G7" s="2">
        <v>115</v>
      </c>
      <c r="H7" s="40">
        <f t="shared" si="0"/>
        <v>44092</v>
      </c>
    </row>
    <row r="8" spans="1:8" x14ac:dyDescent="0.25">
      <c r="A8" s="12">
        <v>44092</v>
      </c>
      <c r="B8" s="33">
        <v>3</v>
      </c>
      <c r="C8" s="3">
        <v>1833</v>
      </c>
      <c r="D8" s="2">
        <v>0.81</v>
      </c>
      <c r="E8" s="4">
        <v>1.2349537037037039E-2</v>
      </c>
      <c r="F8" s="2">
        <v>151</v>
      </c>
      <c r="G8" s="2">
        <v>116</v>
      </c>
      <c r="H8" s="40">
        <f t="shared" si="0"/>
        <v>44092</v>
      </c>
    </row>
    <row r="9" spans="1:8" x14ac:dyDescent="0.25">
      <c r="A9" s="12">
        <v>44093</v>
      </c>
      <c r="B9" s="33">
        <v>1</v>
      </c>
      <c r="C9" s="3">
        <v>3057</v>
      </c>
      <c r="D9" s="2">
        <v>1.34</v>
      </c>
      <c r="E9" s="4">
        <v>2.1412037037037035E-2</v>
      </c>
      <c r="F9" s="2">
        <v>250</v>
      </c>
      <c r="G9" s="2">
        <v>112</v>
      </c>
      <c r="H9" s="40">
        <f t="shared" si="0"/>
        <v>44093</v>
      </c>
    </row>
    <row r="10" spans="1:8" x14ac:dyDescent="0.25">
      <c r="A10" s="12">
        <v>44094</v>
      </c>
      <c r="B10" s="33">
        <v>1</v>
      </c>
      <c r="C10" s="3">
        <v>4380</v>
      </c>
      <c r="D10" s="2">
        <v>1.93</v>
      </c>
      <c r="E10" s="4">
        <v>2.8888888888888891E-2</v>
      </c>
      <c r="F10" s="2">
        <v>360</v>
      </c>
      <c r="G10" s="2">
        <v>115</v>
      </c>
      <c r="H10" s="40">
        <f t="shared" si="0"/>
        <v>44094</v>
      </c>
    </row>
    <row r="11" spans="1:8" x14ac:dyDescent="0.25">
      <c r="A11" s="12">
        <v>44094</v>
      </c>
      <c r="B11" s="33">
        <v>2</v>
      </c>
      <c r="C11" s="3">
        <v>4746</v>
      </c>
      <c r="D11" s="2">
        <v>2.36</v>
      </c>
      <c r="E11" s="4">
        <v>3.107638888888889E-2</v>
      </c>
      <c r="F11" s="2">
        <v>418</v>
      </c>
      <c r="G11" s="2">
        <v>121</v>
      </c>
      <c r="H11" s="40">
        <f t="shared" si="0"/>
        <v>44094</v>
      </c>
    </row>
    <row r="12" spans="1:8" x14ac:dyDescent="0.25">
      <c r="A12" s="12">
        <v>44095</v>
      </c>
      <c r="B12" s="33">
        <v>1</v>
      </c>
      <c r="C12" s="3">
        <v>984</v>
      </c>
      <c r="D12" s="2">
        <v>0.43</v>
      </c>
      <c r="E12" s="4">
        <v>6.6550925925925935E-3</v>
      </c>
      <c r="F12" s="2">
        <v>81</v>
      </c>
      <c r="G12" s="2">
        <v>122</v>
      </c>
      <c r="H12" s="40">
        <f t="shared" si="0"/>
        <v>44095</v>
      </c>
    </row>
    <row r="13" spans="1:8" x14ac:dyDescent="0.25">
      <c r="A13" s="12">
        <v>44095</v>
      </c>
      <c r="B13" s="33">
        <v>2</v>
      </c>
      <c r="C13" s="3">
        <v>1696</v>
      </c>
      <c r="D13" s="2">
        <v>0.74</v>
      </c>
      <c r="E13" s="4">
        <v>1.1863425925925925E-2</v>
      </c>
      <c r="F13" s="2">
        <v>161</v>
      </c>
      <c r="G13" s="2">
        <v>125</v>
      </c>
      <c r="H13" s="40">
        <f t="shared" si="0"/>
        <v>44095</v>
      </c>
    </row>
    <row r="14" spans="1:8" x14ac:dyDescent="0.25">
      <c r="A14" s="12">
        <v>44095</v>
      </c>
      <c r="B14" s="33">
        <v>3</v>
      </c>
      <c r="C14" s="3">
        <v>1859</v>
      </c>
      <c r="D14" s="2">
        <v>0.81</v>
      </c>
      <c r="E14" s="4">
        <v>1.300925925925926E-2</v>
      </c>
      <c r="F14" s="2">
        <v>163</v>
      </c>
      <c r="G14" s="2">
        <v>118</v>
      </c>
      <c r="H14" s="40">
        <f t="shared" si="0"/>
        <v>44095</v>
      </c>
    </row>
    <row r="15" spans="1:8" x14ac:dyDescent="0.25">
      <c r="A15" s="12">
        <v>44096</v>
      </c>
      <c r="B15" s="33">
        <v>1</v>
      </c>
      <c r="C15" s="3">
        <v>1659</v>
      </c>
      <c r="D15" s="2">
        <v>0.72</v>
      </c>
      <c r="E15" s="4">
        <v>1.1539351851851851E-2</v>
      </c>
      <c r="F15" s="2">
        <v>130</v>
      </c>
      <c r="G15" s="2">
        <v>112</v>
      </c>
      <c r="H15" s="40">
        <f t="shared" si="0"/>
        <v>44096</v>
      </c>
    </row>
    <row r="16" spans="1:8" x14ac:dyDescent="0.25">
      <c r="A16" s="12">
        <v>44096</v>
      </c>
      <c r="B16" s="33">
        <v>2</v>
      </c>
      <c r="C16" s="3">
        <v>1245</v>
      </c>
      <c r="D16" s="2">
        <v>0.54</v>
      </c>
      <c r="E16" s="4">
        <v>8.8888888888888889E-3</v>
      </c>
      <c r="F16" s="2">
        <v>111</v>
      </c>
      <c r="G16" s="2">
        <v>117</v>
      </c>
      <c r="H16" s="40">
        <f t="shared" si="0"/>
        <v>44096</v>
      </c>
    </row>
    <row r="17" spans="1:8" x14ac:dyDescent="0.25">
      <c r="A17" s="12">
        <v>44096</v>
      </c>
      <c r="B17" s="33">
        <v>3</v>
      </c>
      <c r="C17" s="3">
        <v>1346</v>
      </c>
      <c r="D17" s="2">
        <v>0.59</v>
      </c>
      <c r="E17" s="4">
        <v>9.4907407407407406E-3</v>
      </c>
      <c r="F17" s="2">
        <v>115</v>
      </c>
      <c r="G17" s="2">
        <v>119</v>
      </c>
      <c r="H17" s="40">
        <f t="shared" si="0"/>
        <v>44096</v>
      </c>
    </row>
    <row r="18" spans="1:8" x14ac:dyDescent="0.25">
      <c r="A18" s="12">
        <v>44097</v>
      </c>
      <c r="B18" s="33">
        <v>1</v>
      </c>
      <c r="C18" s="3">
        <v>1099</v>
      </c>
      <c r="D18" s="2">
        <v>0.48</v>
      </c>
      <c r="E18" s="4">
        <v>7.789351851851852E-3</v>
      </c>
      <c r="F18" s="2">
        <v>88</v>
      </c>
      <c r="G18" s="2">
        <v>114</v>
      </c>
      <c r="H18" s="40">
        <f t="shared" si="0"/>
        <v>44097</v>
      </c>
    </row>
    <row r="19" spans="1:8" x14ac:dyDescent="0.25">
      <c r="A19" s="12">
        <v>44097</v>
      </c>
      <c r="B19" s="33">
        <v>2</v>
      </c>
      <c r="C19" s="3">
        <v>2065</v>
      </c>
      <c r="D19" s="2">
        <v>0.9</v>
      </c>
      <c r="E19" s="4">
        <v>1.5208333333333332E-2</v>
      </c>
      <c r="F19" s="2">
        <v>185</v>
      </c>
      <c r="G19" s="2">
        <v>120</v>
      </c>
      <c r="H19" s="40">
        <f t="shared" si="0"/>
        <v>44097</v>
      </c>
    </row>
    <row r="20" spans="1:8" x14ac:dyDescent="0.25">
      <c r="A20" s="12">
        <v>44097</v>
      </c>
      <c r="B20" s="33">
        <v>3</v>
      </c>
      <c r="C20" s="3">
        <v>1072</v>
      </c>
      <c r="D20" s="2">
        <v>0.49</v>
      </c>
      <c r="E20" s="4">
        <v>8.1481481481481474E-3</v>
      </c>
      <c r="F20" s="2">
        <v>88</v>
      </c>
      <c r="G20" s="2">
        <v>121</v>
      </c>
      <c r="H20" s="40">
        <f t="shared" si="0"/>
        <v>44097</v>
      </c>
    </row>
    <row r="21" spans="1:8" x14ac:dyDescent="0.25">
      <c r="A21" s="12">
        <v>44098</v>
      </c>
      <c r="B21" s="33">
        <v>1</v>
      </c>
      <c r="C21" s="3">
        <v>1384</v>
      </c>
      <c r="D21" s="2">
        <v>0.61</v>
      </c>
      <c r="E21" s="4">
        <v>9.9189814814814817E-3</v>
      </c>
      <c r="F21" s="2">
        <v>107</v>
      </c>
      <c r="G21" s="2">
        <v>109</v>
      </c>
      <c r="H21" s="40">
        <f t="shared" si="0"/>
        <v>44098</v>
      </c>
    </row>
    <row r="22" spans="1:8" x14ac:dyDescent="0.25">
      <c r="A22" s="12">
        <v>44098</v>
      </c>
      <c r="B22" s="33">
        <v>2</v>
      </c>
      <c r="C22" s="3">
        <v>1344</v>
      </c>
      <c r="D22" s="2">
        <v>0.59</v>
      </c>
      <c r="E22" s="4">
        <v>9.6643518518518511E-3</v>
      </c>
      <c r="F22" s="2">
        <v>110</v>
      </c>
      <c r="G22" s="2">
        <v>113</v>
      </c>
      <c r="H22" s="40">
        <f t="shared" si="0"/>
        <v>44098</v>
      </c>
    </row>
    <row r="23" spans="1:8" x14ac:dyDescent="0.25">
      <c r="A23" s="12">
        <v>44099</v>
      </c>
      <c r="B23" s="33">
        <v>1</v>
      </c>
      <c r="C23" s="3">
        <v>1660</v>
      </c>
      <c r="D23" s="2">
        <v>0.73</v>
      </c>
      <c r="E23" s="4">
        <v>1.1631944444444445E-2</v>
      </c>
      <c r="F23" s="2">
        <v>133</v>
      </c>
      <c r="G23" s="2">
        <v>131</v>
      </c>
      <c r="H23" s="40">
        <f t="shared" si="0"/>
        <v>44099</v>
      </c>
    </row>
    <row r="24" spans="1:8" x14ac:dyDescent="0.25">
      <c r="A24" s="12">
        <v>44099</v>
      </c>
      <c r="B24" s="33">
        <v>2</v>
      </c>
      <c r="C24" s="3">
        <v>1061</v>
      </c>
      <c r="D24" s="2">
        <v>0.46</v>
      </c>
      <c r="E24" s="4">
        <v>7.6851851851851847E-3</v>
      </c>
      <c r="F24" s="2">
        <v>88</v>
      </c>
      <c r="G24" s="2">
        <v>116</v>
      </c>
      <c r="H24" s="40">
        <f t="shared" si="0"/>
        <v>44099</v>
      </c>
    </row>
    <row r="25" spans="1:8" x14ac:dyDescent="0.25">
      <c r="A25" s="12">
        <v>44099</v>
      </c>
      <c r="B25" s="33">
        <v>3</v>
      </c>
      <c r="C25" s="3">
        <v>1509</v>
      </c>
      <c r="D25" s="2">
        <v>0.66</v>
      </c>
      <c r="E25" s="4">
        <v>1.0497685185185186E-2</v>
      </c>
      <c r="F25" s="2">
        <v>114</v>
      </c>
      <c r="G25" s="2">
        <v>110</v>
      </c>
      <c r="H25" s="40">
        <f t="shared" si="0"/>
        <v>44099</v>
      </c>
    </row>
    <row r="26" spans="1:8" x14ac:dyDescent="0.25">
      <c r="A26" s="12">
        <v>44100</v>
      </c>
      <c r="B26" s="33">
        <v>1</v>
      </c>
      <c r="C26" s="3">
        <v>2191</v>
      </c>
      <c r="D26" s="2"/>
      <c r="E26" s="4">
        <v>2.4305555555555556E-2</v>
      </c>
      <c r="F26" s="2">
        <v>223</v>
      </c>
      <c r="G26" s="2">
        <v>107</v>
      </c>
      <c r="H26" s="40">
        <f t="shared" si="0"/>
        <v>44100</v>
      </c>
    </row>
    <row r="27" spans="1:8" x14ac:dyDescent="0.25">
      <c r="A27" s="12">
        <v>44100</v>
      </c>
      <c r="B27" s="33">
        <v>2</v>
      </c>
      <c r="C27" s="3">
        <v>2052</v>
      </c>
      <c r="D27" s="2">
        <v>0.9</v>
      </c>
      <c r="E27" s="4">
        <v>1.4456018518518519E-2</v>
      </c>
      <c r="F27" s="2">
        <v>157</v>
      </c>
      <c r="G27" s="2">
        <v>108</v>
      </c>
      <c r="H27" s="40">
        <f t="shared" si="0"/>
        <v>44100</v>
      </c>
    </row>
    <row r="28" spans="1:8" x14ac:dyDescent="0.25">
      <c r="A28" s="12">
        <v>44101</v>
      </c>
      <c r="B28" s="33">
        <v>1</v>
      </c>
      <c r="C28" s="3">
        <v>3349</v>
      </c>
      <c r="D28" s="2">
        <v>1.47</v>
      </c>
      <c r="E28" s="4">
        <v>2.2453703703703708E-2</v>
      </c>
      <c r="F28" s="2">
        <v>287</v>
      </c>
      <c r="G28" s="2">
        <v>122</v>
      </c>
      <c r="H28" s="40">
        <f t="shared" si="0"/>
        <v>44101</v>
      </c>
    </row>
    <row r="29" spans="1:8" x14ac:dyDescent="0.25">
      <c r="A29" s="12">
        <v>44102</v>
      </c>
      <c r="B29" s="33">
        <v>1</v>
      </c>
      <c r="C29" s="3">
        <v>1344</v>
      </c>
      <c r="D29" s="2">
        <v>0.59</v>
      </c>
      <c r="E29" s="4">
        <v>9.6527777777777775E-3</v>
      </c>
      <c r="F29" s="2">
        <v>98</v>
      </c>
      <c r="G29" s="2">
        <v>113</v>
      </c>
      <c r="H29" s="40">
        <f t="shared" si="0"/>
        <v>44102</v>
      </c>
    </row>
    <row r="30" spans="1:8" x14ac:dyDescent="0.25">
      <c r="A30" s="12">
        <v>44102</v>
      </c>
      <c r="B30" s="33">
        <v>2</v>
      </c>
      <c r="C30" s="3">
        <v>1322</v>
      </c>
      <c r="D30" s="2">
        <v>0.57999999999999996</v>
      </c>
      <c r="E30" s="4">
        <v>9.525462962962963E-3</v>
      </c>
      <c r="F30" s="2">
        <v>113</v>
      </c>
      <c r="G30" s="2">
        <v>120</v>
      </c>
      <c r="H30" s="40">
        <f t="shared" si="0"/>
        <v>44102</v>
      </c>
    </row>
    <row r="31" spans="1:8" x14ac:dyDescent="0.25">
      <c r="A31" s="12">
        <v>44102</v>
      </c>
      <c r="B31" s="33">
        <v>3</v>
      </c>
      <c r="C31" s="3">
        <v>1139</v>
      </c>
      <c r="D31" s="2">
        <v>0.5</v>
      </c>
      <c r="E31" s="4">
        <v>8.6226851851851846E-3</v>
      </c>
      <c r="F31" s="2">
        <v>99</v>
      </c>
      <c r="G31" s="2">
        <v>117</v>
      </c>
      <c r="H31" s="40">
        <f t="shared" si="0"/>
        <v>44102</v>
      </c>
    </row>
    <row r="32" spans="1:8" x14ac:dyDescent="0.25">
      <c r="A32" s="12">
        <v>44103</v>
      </c>
      <c r="B32" s="33">
        <v>1</v>
      </c>
      <c r="C32" s="3">
        <v>1368</v>
      </c>
      <c r="D32" s="2">
        <v>0.6</v>
      </c>
      <c r="E32" s="4">
        <v>1.0011574074074074E-2</v>
      </c>
      <c r="F32" s="2">
        <v>97</v>
      </c>
      <c r="G32" s="2">
        <v>100</v>
      </c>
      <c r="H32" s="40">
        <f t="shared" si="0"/>
        <v>44103</v>
      </c>
    </row>
    <row r="33" spans="1:8" x14ac:dyDescent="0.25">
      <c r="A33" s="12">
        <v>44103</v>
      </c>
      <c r="B33" s="33">
        <v>2</v>
      </c>
      <c r="C33" s="3">
        <v>1269</v>
      </c>
      <c r="D33" s="2">
        <v>0.55000000000000004</v>
      </c>
      <c r="E33" s="4">
        <v>9.7569444444444448E-3</v>
      </c>
      <c r="F33" s="2">
        <v>104</v>
      </c>
      <c r="G33" s="2">
        <v>112</v>
      </c>
      <c r="H33" s="40">
        <f t="shared" si="0"/>
        <v>44103</v>
      </c>
    </row>
    <row r="34" spans="1:8" x14ac:dyDescent="0.25">
      <c r="A34" s="12">
        <v>44103</v>
      </c>
      <c r="B34" s="33">
        <v>3</v>
      </c>
      <c r="C34" s="3">
        <v>1198</v>
      </c>
      <c r="D34" s="2">
        <v>0.53</v>
      </c>
      <c r="E34" s="4">
        <v>9.7222222222222224E-3</v>
      </c>
      <c r="F34" s="2">
        <v>100</v>
      </c>
      <c r="G34" s="2">
        <v>114</v>
      </c>
      <c r="H34" s="40">
        <f t="shared" si="0"/>
        <v>44103</v>
      </c>
    </row>
    <row r="35" spans="1:8" x14ac:dyDescent="0.25">
      <c r="A35" s="12">
        <v>44104</v>
      </c>
      <c r="B35" s="33">
        <v>1</v>
      </c>
      <c r="C35" s="3">
        <v>1925</v>
      </c>
      <c r="D35" s="2">
        <v>0.84</v>
      </c>
      <c r="E35" s="4">
        <v>1.3668981481481482E-2</v>
      </c>
      <c r="F35" s="2">
        <v>144</v>
      </c>
      <c r="G35" s="2">
        <v>112</v>
      </c>
      <c r="H35" s="40">
        <f t="shared" si="0"/>
        <v>44104</v>
      </c>
    </row>
    <row r="36" spans="1:8" x14ac:dyDescent="0.25">
      <c r="A36" s="12">
        <v>44104</v>
      </c>
      <c r="B36" s="33">
        <v>2</v>
      </c>
      <c r="C36" s="3">
        <v>1795</v>
      </c>
      <c r="D36" s="2">
        <v>0.79</v>
      </c>
      <c r="E36" s="4">
        <v>1.3113425925925926E-2</v>
      </c>
      <c r="F36" s="2">
        <v>150</v>
      </c>
      <c r="G36" s="2">
        <v>115</v>
      </c>
      <c r="H36" s="40">
        <f t="shared" si="0"/>
        <v>44104</v>
      </c>
    </row>
    <row r="37" spans="1:8" x14ac:dyDescent="0.25">
      <c r="A37" s="12">
        <v>44104</v>
      </c>
      <c r="B37" s="33">
        <v>3</v>
      </c>
      <c r="C37" s="3">
        <v>1273</v>
      </c>
      <c r="D37" s="2">
        <v>0.55000000000000004</v>
      </c>
      <c r="E37" s="4">
        <v>1.2916666666666667E-2</v>
      </c>
      <c r="F37" s="2">
        <v>73</v>
      </c>
      <c r="G37" s="2">
        <v>86</v>
      </c>
      <c r="H37" s="40">
        <f t="shared" si="0"/>
        <v>44104</v>
      </c>
    </row>
    <row r="38" spans="1:8" x14ac:dyDescent="0.25">
      <c r="A38" s="12">
        <v>44105</v>
      </c>
      <c r="B38" s="33">
        <v>1</v>
      </c>
      <c r="C38" s="3">
        <v>1274</v>
      </c>
      <c r="D38" s="2">
        <v>0.55000000000000004</v>
      </c>
      <c r="E38" s="4">
        <v>9.0856481481481483E-3</v>
      </c>
      <c r="F38" s="2">
        <v>102</v>
      </c>
      <c r="G38" s="2">
        <v>111</v>
      </c>
      <c r="H38" s="40">
        <f t="shared" si="0"/>
        <v>44105</v>
      </c>
    </row>
    <row r="39" spans="1:8" x14ac:dyDescent="0.25">
      <c r="A39" s="12">
        <v>44105</v>
      </c>
      <c r="B39" s="33">
        <v>2</v>
      </c>
      <c r="C39" s="3">
        <v>1732</v>
      </c>
      <c r="D39" s="2">
        <v>0.76</v>
      </c>
      <c r="E39" s="4">
        <v>1.1631944444444445E-2</v>
      </c>
      <c r="F39" s="2">
        <v>131</v>
      </c>
      <c r="G39" s="2">
        <v>110</v>
      </c>
      <c r="H39" s="40">
        <f t="shared" si="0"/>
        <v>44105</v>
      </c>
    </row>
    <row r="40" spans="1:8" x14ac:dyDescent="0.25">
      <c r="A40" s="12">
        <v>44105</v>
      </c>
      <c r="B40" s="33">
        <v>3</v>
      </c>
      <c r="C40" s="3">
        <v>1904</v>
      </c>
      <c r="D40" s="2">
        <v>0.83</v>
      </c>
      <c r="E40" s="4">
        <v>1.3090277777777779E-2</v>
      </c>
      <c r="F40" s="2">
        <v>146</v>
      </c>
      <c r="G40" s="2">
        <v>108</v>
      </c>
      <c r="H40" s="40">
        <f t="shared" si="0"/>
        <v>44105</v>
      </c>
    </row>
    <row r="41" spans="1:8" x14ac:dyDescent="0.25">
      <c r="A41" s="12">
        <v>44105</v>
      </c>
      <c r="B41" s="33">
        <v>4</v>
      </c>
      <c r="C41" s="3">
        <v>1758</v>
      </c>
      <c r="D41" s="2">
        <v>0.77</v>
      </c>
      <c r="E41" s="4">
        <v>1.2488425925925925E-2</v>
      </c>
      <c r="F41" s="2">
        <v>139</v>
      </c>
      <c r="G41" s="2">
        <v>115</v>
      </c>
      <c r="H41" s="40">
        <f t="shared" si="0"/>
        <v>44105</v>
      </c>
    </row>
    <row r="42" spans="1:8" x14ac:dyDescent="0.25">
      <c r="A42" s="12">
        <v>44106</v>
      </c>
      <c r="B42" s="33">
        <v>1</v>
      </c>
      <c r="C42" s="3">
        <v>1201</v>
      </c>
      <c r="D42" s="2">
        <v>0.52</v>
      </c>
      <c r="E42" s="4">
        <v>8.2291666666666659E-3</v>
      </c>
      <c r="F42" s="2">
        <v>95</v>
      </c>
      <c r="G42" s="2">
        <v>111</v>
      </c>
    </row>
    <row r="43" spans="1:8" x14ac:dyDescent="0.25">
      <c r="A43" s="12">
        <v>44106</v>
      </c>
      <c r="B43" s="33">
        <v>2</v>
      </c>
      <c r="C43" s="3">
        <v>1738</v>
      </c>
      <c r="D43" s="2">
        <v>0.76</v>
      </c>
      <c r="E43" s="4">
        <v>1.1759259259259259E-2</v>
      </c>
      <c r="F43" s="2">
        <v>120</v>
      </c>
      <c r="G43" s="2">
        <v>104</v>
      </c>
    </row>
    <row r="44" spans="1:8" x14ac:dyDescent="0.25">
      <c r="A44" s="12">
        <v>44106</v>
      </c>
      <c r="B44" s="33">
        <v>3</v>
      </c>
      <c r="C44" s="3">
        <v>3149</v>
      </c>
      <c r="D44" s="2">
        <v>1.38</v>
      </c>
      <c r="E44" s="4">
        <v>2.1701388888888892E-2</v>
      </c>
      <c r="F44" s="2">
        <v>248</v>
      </c>
      <c r="G44" s="2">
        <v>115</v>
      </c>
    </row>
    <row r="45" spans="1:8" x14ac:dyDescent="0.25">
      <c r="A45" s="12">
        <v>44106</v>
      </c>
      <c r="B45" s="33">
        <v>4</v>
      </c>
      <c r="C45" s="3">
        <v>1327</v>
      </c>
      <c r="D45" s="2">
        <v>0.63</v>
      </c>
      <c r="E45" s="4">
        <v>9.8032407407407408E-3</v>
      </c>
      <c r="F45" s="2">
        <v>76</v>
      </c>
      <c r="G45" s="2">
        <v>91</v>
      </c>
    </row>
    <row r="46" spans="1:8" x14ac:dyDescent="0.25">
      <c r="A46" s="12">
        <v>44107</v>
      </c>
      <c r="B46" s="33">
        <v>1</v>
      </c>
      <c r="C46" s="3">
        <v>5737</v>
      </c>
      <c r="D46" s="2">
        <v>2.5</v>
      </c>
      <c r="E46" s="4">
        <v>3.7199074074074072E-2</v>
      </c>
      <c r="F46" s="2">
        <v>427</v>
      </c>
      <c r="G46" s="2">
        <v>110</v>
      </c>
    </row>
    <row r="47" spans="1:8" x14ac:dyDescent="0.25">
      <c r="A47" s="12">
        <v>44108</v>
      </c>
      <c r="B47" s="33">
        <v>1</v>
      </c>
      <c r="C47" s="3">
        <v>3215</v>
      </c>
      <c r="D47" s="2">
        <v>1.41</v>
      </c>
      <c r="E47" s="4">
        <v>2.1319444444444443E-2</v>
      </c>
      <c r="F47" s="2">
        <v>264</v>
      </c>
      <c r="G47" s="2">
        <v>121</v>
      </c>
    </row>
    <row r="48" spans="1:8" x14ac:dyDescent="0.25">
      <c r="A48" s="12">
        <v>44109</v>
      </c>
      <c r="B48" s="33">
        <v>1</v>
      </c>
      <c r="C48" s="3">
        <v>1695</v>
      </c>
      <c r="D48" s="2">
        <v>0.75</v>
      </c>
      <c r="E48" s="4">
        <v>1.1666666666666667E-2</v>
      </c>
      <c r="F48" s="2">
        <v>128</v>
      </c>
      <c r="G48" s="2">
        <v>109</v>
      </c>
    </row>
    <row r="49" spans="1:7" x14ac:dyDescent="0.25">
      <c r="A49" s="12">
        <v>44109</v>
      </c>
      <c r="B49" s="33">
        <v>2</v>
      </c>
      <c r="C49" s="3">
        <v>1425</v>
      </c>
      <c r="D49" s="2">
        <v>0.62</v>
      </c>
      <c r="E49" s="4">
        <v>1.0300925925925927E-2</v>
      </c>
      <c r="F49" s="2">
        <v>108</v>
      </c>
      <c r="G49" s="2">
        <v>115</v>
      </c>
    </row>
    <row r="50" spans="1:7" x14ac:dyDescent="0.25">
      <c r="A50" s="12">
        <v>44109</v>
      </c>
      <c r="B50" s="33">
        <v>3</v>
      </c>
      <c r="C50" s="3">
        <v>2595</v>
      </c>
      <c r="D50" s="2">
        <v>1.1299999999999999</v>
      </c>
      <c r="E50" s="4">
        <v>1.8819444444444448E-2</v>
      </c>
      <c r="F50" s="2">
        <v>209</v>
      </c>
      <c r="G50" s="2">
        <v>115</v>
      </c>
    </row>
    <row r="51" spans="1:7" x14ac:dyDescent="0.25">
      <c r="A51" s="12">
        <v>44109</v>
      </c>
      <c r="B51" s="33">
        <v>4</v>
      </c>
      <c r="C51" s="3">
        <v>1435</v>
      </c>
      <c r="D51" s="2">
        <v>0.63</v>
      </c>
      <c r="E51" s="4">
        <v>1.0416666666666666E-2</v>
      </c>
      <c r="F51" s="2">
        <v>114</v>
      </c>
      <c r="G51" s="2">
        <v>119</v>
      </c>
    </row>
    <row r="52" spans="1:7" x14ac:dyDescent="0.25">
      <c r="A52" s="12">
        <v>44110</v>
      </c>
      <c r="B52" s="33">
        <v>1</v>
      </c>
      <c r="C52" s="3">
        <v>1228</v>
      </c>
      <c r="D52" s="2">
        <v>0.53</v>
      </c>
      <c r="E52" s="4">
        <v>8.9236111111111113E-3</v>
      </c>
      <c r="F52" s="2">
        <v>89</v>
      </c>
      <c r="G52" s="2">
        <v>109</v>
      </c>
    </row>
    <row r="53" spans="1:7" x14ac:dyDescent="0.25">
      <c r="A53" s="12">
        <v>44110</v>
      </c>
      <c r="B53" s="33">
        <v>2</v>
      </c>
      <c r="C53" s="3">
        <v>1424</v>
      </c>
      <c r="D53" s="2">
        <v>0.62</v>
      </c>
      <c r="E53" s="4">
        <v>1.0833333333333334E-2</v>
      </c>
      <c r="F53" s="2">
        <v>112</v>
      </c>
      <c r="G53" s="2">
        <v>106</v>
      </c>
    </row>
    <row r="54" spans="1:7" x14ac:dyDescent="0.25">
      <c r="A54" s="12">
        <v>44110</v>
      </c>
      <c r="B54" s="33">
        <v>3</v>
      </c>
      <c r="C54" s="3">
        <v>2632</v>
      </c>
      <c r="D54" s="2">
        <v>1.1499999999999999</v>
      </c>
      <c r="E54" s="4">
        <v>1.9375E-2</v>
      </c>
      <c r="F54" s="2">
        <v>211</v>
      </c>
      <c r="G54" s="2">
        <v>112</v>
      </c>
    </row>
    <row r="55" spans="1:7" x14ac:dyDescent="0.25">
      <c r="A55" s="12">
        <v>44110</v>
      </c>
      <c r="B55" s="33">
        <v>4</v>
      </c>
      <c r="C55" s="3">
        <v>1469</v>
      </c>
      <c r="D55" s="2">
        <v>0.65</v>
      </c>
      <c r="E55" s="4">
        <v>1.0567129629629629E-2</v>
      </c>
      <c r="F55" s="2">
        <v>114</v>
      </c>
      <c r="G55" s="2">
        <v>118</v>
      </c>
    </row>
    <row r="56" spans="1:7" x14ac:dyDescent="0.25">
      <c r="A56" s="12">
        <v>44111</v>
      </c>
      <c r="B56" s="33">
        <v>1</v>
      </c>
      <c r="C56" s="3">
        <v>1415</v>
      </c>
      <c r="D56" s="2">
        <v>0.62</v>
      </c>
      <c r="E56" s="4">
        <v>1.0208333333333333E-2</v>
      </c>
      <c r="F56" s="2">
        <v>111</v>
      </c>
      <c r="G56" s="2">
        <v>109</v>
      </c>
    </row>
    <row r="57" spans="1:7" x14ac:dyDescent="0.25">
      <c r="A57" s="12">
        <v>44111</v>
      </c>
      <c r="B57" s="33">
        <v>2</v>
      </c>
      <c r="C57" s="3">
        <v>1622</v>
      </c>
      <c r="D57" s="2">
        <v>0.71</v>
      </c>
      <c r="E57" s="4">
        <v>1.1087962962962964E-2</v>
      </c>
      <c r="F57" s="2">
        <v>113</v>
      </c>
      <c r="G57" s="2">
        <v>106</v>
      </c>
    </row>
    <row r="58" spans="1:7" x14ac:dyDescent="0.25">
      <c r="A58" s="12">
        <v>44111</v>
      </c>
      <c r="B58" s="33">
        <v>3</v>
      </c>
      <c r="C58" s="3">
        <v>3091</v>
      </c>
      <c r="D58" s="2">
        <v>1.35</v>
      </c>
      <c r="E58" s="4">
        <v>2.1759259259259259E-2</v>
      </c>
      <c r="F58" s="2">
        <v>235</v>
      </c>
      <c r="G58" s="2">
        <v>110</v>
      </c>
    </row>
    <row r="59" spans="1:7" x14ac:dyDescent="0.25">
      <c r="A59" s="12">
        <v>44111</v>
      </c>
      <c r="B59" s="33">
        <v>4</v>
      </c>
      <c r="C59" s="3">
        <v>1640</v>
      </c>
      <c r="D59" s="2">
        <v>0.72</v>
      </c>
      <c r="E59" s="4">
        <v>1.1724537037037035E-2</v>
      </c>
      <c r="F59" s="2">
        <v>127</v>
      </c>
      <c r="G59" s="2">
        <v>115</v>
      </c>
    </row>
    <row r="60" spans="1:7" x14ac:dyDescent="0.25">
      <c r="A60" s="12">
        <v>44112</v>
      </c>
      <c r="B60" s="33">
        <v>1</v>
      </c>
      <c r="C60" s="3">
        <v>2061</v>
      </c>
      <c r="D60" s="2">
        <v>0.9</v>
      </c>
      <c r="E60" s="4">
        <v>1.4791666666666668E-2</v>
      </c>
      <c r="F60" s="2">
        <v>154</v>
      </c>
      <c r="G60" s="2">
        <v>105</v>
      </c>
    </row>
    <row r="61" spans="1:7" x14ac:dyDescent="0.25">
      <c r="A61" s="12">
        <v>44112</v>
      </c>
      <c r="B61" s="33">
        <v>2</v>
      </c>
      <c r="C61" s="3">
        <v>1722</v>
      </c>
      <c r="D61" s="2">
        <v>0.76</v>
      </c>
      <c r="E61" s="4">
        <v>1.1851851851851851E-2</v>
      </c>
      <c r="F61" s="2">
        <v>124</v>
      </c>
      <c r="G61" s="2">
        <v>104</v>
      </c>
    </row>
    <row r="62" spans="1:7" x14ac:dyDescent="0.25">
      <c r="A62" s="12">
        <v>44112</v>
      </c>
      <c r="B62" s="33">
        <v>3</v>
      </c>
      <c r="C62" s="3">
        <v>4169</v>
      </c>
      <c r="D62" s="2">
        <v>1.83</v>
      </c>
      <c r="E62" s="4">
        <v>2.8402777777777777E-2</v>
      </c>
      <c r="F62" s="2">
        <v>320</v>
      </c>
      <c r="G62" s="2">
        <v>112</v>
      </c>
    </row>
    <row r="63" spans="1:7" x14ac:dyDescent="0.25">
      <c r="A63" s="12">
        <v>44112</v>
      </c>
      <c r="B63" s="33">
        <v>4</v>
      </c>
      <c r="C63" s="3">
        <v>1626</v>
      </c>
      <c r="D63" s="2">
        <v>0.71</v>
      </c>
      <c r="E63" s="4">
        <v>1.1562499999999998E-2</v>
      </c>
      <c r="F63" s="2">
        <v>132</v>
      </c>
      <c r="G63" s="2">
        <v>114</v>
      </c>
    </row>
    <row r="64" spans="1:7" x14ac:dyDescent="0.25">
      <c r="A64" s="12">
        <v>44112</v>
      </c>
      <c r="B64" s="33">
        <v>5</v>
      </c>
      <c r="C64" s="3">
        <v>3048</v>
      </c>
      <c r="D64" s="2">
        <v>1.17</v>
      </c>
      <c r="E64" s="4">
        <v>2.7777777777777776E-2</v>
      </c>
      <c r="F64" s="2">
        <v>429</v>
      </c>
      <c r="G64" s="2">
        <v>98</v>
      </c>
    </row>
    <row r="65" spans="1:7" x14ac:dyDescent="0.25">
      <c r="A65" s="12">
        <v>44113</v>
      </c>
      <c r="B65" s="33">
        <v>1</v>
      </c>
      <c r="C65" s="3">
        <v>1816</v>
      </c>
      <c r="D65" s="2">
        <v>0.8</v>
      </c>
      <c r="E65" s="4">
        <v>1.2870370370370372E-2</v>
      </c>
      <c r="F65" s="2">
        <v>144</v>
      </c>
      <c r="G65" s="2">
        <v>109</v>
      </c>
    </row>
    <row r="66" spans="1:7" x14ac:dyDescent="0.25">
      <c r="A66" s="12">
        <v>44113</v>
      </c>
      <c r="B66" s="33">
        <v>2</v>
      </c>
      <c r="C66" s="3">
        <v>1661</v>
      </c>
      <c r="D66" s="2">
        <v>0.73</v>
      </c>
      <c r="E66" s="4">
        <v>1.1284722222222222E-2</v>
      </c>
      <c r="F66" s="2">
        <v>129</v>
      </c>
      <c r="G66" s="2">
        <v>108</v>
      </c>
    </row>
    <row r="67" spans="1:7" x14ac:dyDescent="0.25">
      <c r="A67" s="12">
        <v>44113</v>
      </c>
      <c r="B67" s="33">
        <v>3</v>
      </c>
      <c r="C67" s="3">
        <v>2656</v>
      </c>
      <c r="D67" s="2">
        <v>1.1599999999999999</v>
      </c>
      <c r="E67" s="4">
        <v>1.832175925925926E-2</v>
      </c>
      <c r="F67" s="2">
        <v>200</v>
      </c>
      <c r="G67" s="2">
        <v>108</v>
      </c>
    </row>
    <row r="68" spans="1:7" x14ac:dyDescent="0.25">
      <c r="A68" s="12">
        <v>44113</v>
      </c>
      <c r="B68" s="33">
        <v>4</v>
      </c>
      <c r="C68" s="3">
        <v>1663</v>
      </c>
      <c r="D68" s="2">
        <v>0.73</v>
      </c>
      <c r="E68" s="4">
        <v>1.1967592592592592E-2</v>
      </c>
      <c r="F68" s="2">
        <v>129</v>
      </c>
      <c r="G68" s="2">
        <v>110</v>
      </c>
    </row>
    <row r="69" spans="1:7" x14ac:dyDescent="0.25">
      <c r="A69" s="12">
        <v>44114</v>
      </c>
      <c r="B69" s="33">
        <v>1</v>
      </c>
      <c r="C69" s="3">
        <v>517</v>
      </c>
      <c r="D69" s="2">
        <v>2.2599999999999998</v>
      </c>
      <c r="E69" s="4">
        <v>3.3587962962962965E-2</v>
      </c>
      <c r="F69" s="2">
        <v>395</v>
      </c>
      <c r="G69" s="2">
        <v>111</v>
      </c>
    </row>
    <row r="70" spans="1:7" x14ac:dyDescent="0.25">
      <c r="A70" s="12">
        <v>44115</v>
      </c>
      <c r="B70" s="33">
        <v>1</v>
      </c>
      <c r="C70" s="3">
        <v>5397</v>
      </c>
      <c r="D70" s="2">
        <v>2.4</v>
      </c>
      <c r="E70" s="4">
        <v>3.667824074074074E-2</v>
      </c>
      <c r="F70" s="2">
        <v>411</v>
      </c>
      <c r="G70" s="2">
        <v>110</v>
      </c>
    </row>
    <row r="71" spans="1:7" x14ac:dyDescent="0.25">
      <c r="A71" s="12">
        <v>44117</v>
      </c>
      <c r="B71" s="33">
        <v>1</v>
      </c>
      <c r="C71" s="3">
        <v>1812</v>
      </c>
      <c r="D71" s="2">
        <v>0.79</v>
      </c>
      <c r="E71" s="4">
        <v>1.2789351851851852E-2</v>
      </c>
      <c r="F71" s="2">
        <v>132</v>
      </c>
      <c r="G71" s="2">
        <v>104</v>
      </c>
    </row>
    <row r="72" spans="1:7" x14ac:dyDescent="0.25">
      <c r="A72" s="12">
        <v>44117</v>
      </c>
      <c r="B72" s="33">
        <v>2</v>
      </c>
      <c r="C72" s="3">
        <v>1607</v>
      </c>
      <c r="D72" s="2">
        <v>0.7</v>
      </c>
      <c r="E72" s="4">
        <v>1.1412037037037038E-2</v>
      </c>
      <c r="F72" s="2">
        <v>122</v>
      </c>
      <c r="G72" s="2">
        <v>108</v>
      </c>
    </row>
    <row r="73" spans="1:7" x14ac:dyDescent="0.25">
      <c r="A73" s="12">
        <v>44117</v>
      </c>
      <c r="B73" s="33">
        <v>3</v>
      </c>
      <c r="C73" s="3">
        <v>2894</v>
      </c>
      <c r="D73" s="2">
        <v>1.26</v>
      </c>
      <c r="E73" s="4">
        <v>2.1203703703703707E-2</v>
      </c>
      <c r="F73" s="2">
        <v>238</v>
      </c>
      <c r="G73" s="2">
        <v>114</v>
      </c>
    </row>
    <row r="74" spans="1:7" x14ac:dyDescent="0.25">
      <c r="A74" s="12">
        <v>44117</v>
      </c>
      <c r="B74" s="33">
        <v>4</v>
      </c>
      <c r="C74" s="3">
        <v>1449</v>
      </c>
      <c r="D74" s="2">
        <v>0.63</v>
      </c>
      <c r="E74" s="4">
        <v>1.9641203703703706E-2</v>
      </c>
      <c r="F74" s="2">
        <v>132</v>
      </c>
      <c r="G74" s="2">
        <v>98</v>
      </c>
    </row>
    <row r="75" spans="1:7" x14ac:dyDescent="0.25">
      <c r="A75" s="12">
        <v>44118</v>
      </c>
      <c r="B75" s="33">
        <v>1</v>
      </c>
      <c r="C75" s="3">
        <v>1991</v>
      </c>
      <c r="D75" s="2">
        <v>0.87</v>
      </c>
      <c r="E75" s="4">
        <v>1.4780092592592595E-2</v>
      </c>
      <c r="F75" s="2">
        <v>150</v>
      </c>
      <c r="G75" s="2">
        <v>106</v>
      </c>
    </row>
    <row r="76" spans="1:7" x14ac:dyDescent="0.25">
      <c r="A76" s="12">
        <v>44118</v>
      </c>
      <c r="B76" s="33">
        <v>2</v>
      </c>
      <c r="C76" s="3">
        <v>1616</v>
      </c>
      <c r="D76" s="2">
        <v>0.71</v>
      </c>
      <c r="E76" s="4">
        <v>1.1782407407407406E-2</v>
      </c>
      <c r="F76" s="2">
        <v>119</v>
      </c>
      <c r="G76" s="2">
        <v>107</v>
      </c>
    </row>
    <row r="77" spans="1:7" x14ac:dyDescent="0.25">
      <c r="A77" s="12">
        <v>44118</v>
      </c>
      <c r="B77" s="33">
        <v>3</v>
      </c>
      <c r="C77" s="3">
        <v>2622</v>
      </c>
      <c r="D77" s="2">
        <v>1.1499999999999999</v>
      </c>
      <c r="E77" s="4">
        <v>1.9479166666666669E-2</v>
      </c>
      <c r="F77" s="2">
        <v>203</v>
      </c>
      <c r="G77" s="2">
        <v>107</v>
      </c>
    </row>
    <row r="78" spans="1:7" x14ac:dyDescent="0.25">
      <c r="A78" s="12">
        <v>44118</v>
      </c>
      <c r="B78" s="33">
        <v>4</v>
      </c>
      <c r="C78" s="3">
        <v>1475</v>
      </c>
      <c r="D78" s="2">
        <v>0.65</v>
      </c>
      <c r="E78" s="4">
        <v>1.045138888888889E-2</v>
      </c>
      <c r="F78" s="2">
        <v>112</v>
      </c>
      <c r="G78" s="2">
        <v>113</v>
      </c>
    </row>
    <row r="79" spans="1:7" x14ac:dyDescent="0.25">
      <c r="A79" s="12">
        <v>44119</v>
      </c>
      <c r="B79" s="33">
        <v>1</v>
      </c>
      <c r="C79" s="3">
        <v>2301</v>
      </c>
      <c r="D79" s="2">
        <v>1.01</v>
      </c>
      <c r="E79" s="4">
        <v>1.5590277777777778E-2</v>
      </c>
      <c r="F79" s="2">
        <v>173</v>
      </c>
      <c r="G79" s="2">
        <v>106</v>
      </c>
    </row>
    <row r="80" spans="1:7" x14ac:dyDescent="0.25">
      <c r="A80" s="12">
        <v>44119</v>
      </c>
      <c r="B80" s="33">
        <v>2</v>
      </c>
      <c r="C80" s="3">
        <v>1673</v>
      </c>
      <c r="D80" s="2">
        <v>0.74</v>
      </c>
      <c r="E80" s="4">
        <v>1.1828703703703704E-2</v>
      </c>
      <c r="F80" s="2">
        <v>121</v>
      </c>
      <c r="G80" s="2">
        <v>103</v>
      </c>
    </row>
    <row r="81" spans="1:7" x14ac:dyDescent="0.25">
      <c r="A81" s="12">
        <v>44119</v>
      </c>
      <c r="B81" s="33">
        <v>3</v>
      </c>
      <c r="C81" s="3">
        <v>2692</v>
      </c>
      <c r="D81" s="2">
        <v>1.17</v>
      </c>
      <c r="E81" s="4">
        <v>1.9247685185185184E-2</v>
      </c>
      <c r="F81" s="2">
        <v>221</v>
      </c>
      <c r="G81" s="2">
        <v>112</v>
      </c>
    </row>
    <row r="82" spans="1:7" x14ac:dyDescent="0.25">
      <c r="A82" s="12">
        <v>44119</v>
      </c>
      <c r="B82" s="33">
        <v>4</v>
      </c>
      <c r="C82" s="3">
        <v>1683</v>
      </c>
      <c r="D82" s="2">
        <v>0.74</v>
      </c>
      <c r="E82" s="4">
        <v>1.1712962962962965E-2</v>
      </c>
      <c r="F82" s="2">
        <v>129</v>
      </c>
      <c r="G82" s="2">
        <v>112</v>
      </c>
    </row>
    <row r="83" spans="1:7" x14ac:dyDescent="0.25">
      <c r="A83" s="12">
        <v>44120</v>
      </c>
      <c r="B83" s="33">
        <v>1</v>
      </c>
      <c r="C83" s="3">
        <v>1902</v>
      </c>
      <c r="D83" s="2">
        <v>0.84</v>
      </c>
      <c r="E83" s="4">
        <v>1.3032407407407407E-2</v>
      </c>
      <c r="F83" s="2">
        <v>145</v>
      </c>
      <c r="G83" s="2">
        <v>107</v>
      </c>
    </row>
    <row r="84" spans="1:7" x14ac:dyDescent="0.25">
      <c r="A84" s="12">
        <v>44120</v>
      </c>
      <c r="B84" s="33">
        <v>2</v>
      </c>
      <c r="C84" s="3">
        <v>1636</v>
      </c>
      <c r="D84" s="2">
        <v>0.72</v>
      </c>
      <c r="E84" s="4">
        <v>1.1400462962962965E-2</v>
      </c>
      <c r="F84" s="2">
        <v>115</v>
      </c>
      <c r="G84" s="2">
        <v>104</v>
      </c>
    </row>
    <row r="85" spans="1:7" x14ac:dyDescent="0.25">
      <c r="A85" s="12">
        <v>44120</v>
      </c>
      <c r="B85" s="33">
        <v>3</v>
      </c>
      <c r="C85" s="3">
        <v>2659</v>
      </c>
      <c r="D85" s="2">
        <v>1.1599999999999999</v>
      </c>
      <c r="E85" s="4">
        <v>1.8634259259259257E-2</v>
      </c>
      <c r="F85" s="2">
        <v>211</v>
      </c>
      <c r="G85" s="2">
        <v>108</v>
      </c>
    </row>
    <row r="86" spans="1:7" x14ac:dyDescent="0.25">
      <c r="A86" s="12">
        <v>44120</v>
      </c>
      <c r="B86" s="33">
        <v>4</v>
      </c>
      <c r="C86" s="3">
        <v>1454</v>
      </c>
      <c r="D86" s="2">
        <v>0.64</v>
      </c>
      <c r="E86" s="4">
        <v>1.0590277777777777E-2</v>
      </c>
      <c r="F86" s="2">
        <v>116</v>
      </c>
      <c r="G86" s="2">
        <v>112</v>
      </c>
    </row>
    <row r="87" spans="1:7" x14ac:dyDescent="0.25">
      <c r="A87" s="12">
        <v>44121</v>
      </c>
      <c r="B87" s="33">
        <v>1</v>
      </c>
      <c r="C87" s="3">
        <v>5086</v>
      </c>
      <c r="D87" s="2">
        <v>2.25</v>
      </c>
      <c r="E87" s="4">
        <v>3.3125000000000002E-2</v>
      </c>
      <c r="F87" s="2">
        <v>388</v>
      </c>
      <c r="G87" s="2">
        <v>113</v>
      </c>
    </row>
    <row r="88" spans="1:7" x14ac:dyDescent="0.25">
      <c r="A88" s="12">
        <v>44122</v>
      </c>
      <c r="B88" s="33">
        <v>1</v>
      </c>
      <c r="C88" s="3">
        <v>2968</v>
      </c>
      <c r="D88" s="2">
        <v>1.3</v>
      </c>
      <c r="E88" s="4">
        <v>2.1203703703703707E-2</v>
      </c>
      <c r="F88" s="2">
        <v>214</v>
      </c>
      <c r="G88" s="2">
        <v>100</v>
      </c>
    </row>
    <row r="89" spans="1:7" x14ac:dyDescent="0.25">
      <c r="A89" s="12">
        <v>44122</v>
      </c>
      <c r="B89" s="33">
        <v>2</v>
      </c>
      <c r="C89" s="3">
        <v>5210</v>
      </c>
      <c r="D89" s="2">
        <v>2.2799999999999998</v>
      </c>
      <c r="E89" s="4">
        <v>3.4814814814814812E-2</v>
      </c>
      <c r="F89" s="2">
        <v>378</v>
      </c>
      <c r="G89" s="2">
        <v>105</v>
      </c>
    </row>
    <row r="90" spans="1:7" x14ac:dyDescent="0.25">
      <c r="A90" s="12">
        <v>44123</v>
      </c>
      <c r="B90" s="33">
        <v>1</v>
      </c>
      <c r="C90" s="3">
        <v>1811</v>
      </c>
      <c r="D90" s="2">
        <v>0.8</v>
      </c>
      <c r="E90" s="4">
        <v>1.2800925925925926E-2</v>
      </c>
      <c r="F90" s="2">
        <v>132</v>
      </c>
      <c r="G90" s="2">
        <v>106</v>
      </c>
    </row>
    <row r="91" spans="1:7" x14ac:dyDescent="0.25">
      <c r="A91" s="12">
        <v>44123</v>
      </c>
      <c r="B91" s="33">
        <v>2</v>
      </c>
      <c r="C91" s="3">
        <v>1600</v>
      </c>
      <c r="D91" s="2">
        <v>0.7</v>
      </c>
      <c r="E91" s="4">
        <v>1.1064814814814814E-2</v>
      </c>
      <c r="F91" s="2">
        <v>119</v>
      </c>
      <c r="G91" s="2">
        <v>104</v>
      </c>
    </row>
    <row r="92" spans="1:7" x14ac:dyDescent="0.25">
      <c r="A92" s="12">
        <v>44123</v>
      </c>
      <c r="B92" s="33">
        <v>3</v>
      </c>
      <c r="C92" s="3">
        <v>2617</v>
      </c>
      <c r="D92" s="2">
        <v>1.1499999999999999</v>
      </c>
      <c r="E92" s="4">
        <v>1.8819444444444448E-2</v>
      </c>
      <c r="F92" s="2">
        <v>205</v>
      </c>
      <c r="G92" s="2">
        <v>106</v>
      </c>
    </row>
    <row r="93" spans="1:7" x14ac:dyDescent="0.25">
      <c r="A93" s="12">
        <v>44123</v>
      </c>
      <c r="B93" s="33">
        <v>4</v>
      </c>
      <c r="C93" s="3">
        <v>1423</v>
      </c>
      <c r="D93" s="2">
        <v>0.62</v>
      </c>
      <c r="E93" s="4">
        <v>1.03125E-2</v>
      </c>
      <c r="F93" s="2">
        <v>114</v>
      </c>
      <c r="G93" s="2">
        <v>109</v>
      </c>
    </row>
    <row r="94" spans="1:7" x14ac:dyDescent="0.25">
      <c r="A94" s="12">
        <v>44124</v>
      </c>
      <c r="B94" s="33">
        <v>1</v>
      </c>
      <c r="C94" s="3">
        <v>2392</v>
      </c>
      <c r="D94" s="2">
        <v>1.04</v>
      </c>
      <c r="E94" s="4">
        <v>1.6863425925925928E-2</v>
      </c>
      <c r="F94" s="2">
        <v>183</v>
      </c>
      <c r="G94" s="2">
        <v>105</v>
      </c>
    </row>
    <row r="95" spans="1:7" x14ac:dyDescent="0.25">
      <c r="A95" s="12">
        <v>44124</v>
      </c>
      <c r="B95" s="33">
        <v>2</v>
      </c>
      <c r="C95" s="3">
        <v>1617</v>
      </c>
      <c r="D95" s="2">
        <v>0.71</v>
      </c>
      <c r="E95" s="4">
        <v>1.1284722222222222E-2</v>
      </c>
      <c r="F95" s="2">
        <v>119</v>
      </c>
      <c r="G95" s="2">
        <v>103</v>
      </c>
    </row>
    <row r="96" spans="1:7" x14ac:dyDescent="0.25">
      <c r="A96" s="12">
        <v>44124</v>
      </c>
      <c r="B96" s="33">
        <v>3</v>
      </c>
      <c r="C96" s="3">
        <v>2638</v>
      </c>
      <c r="D96" s="2">
        <v>1.1599999999999999</v>
      </c>
      <c r="E96" s="4">
        <v>1.9131944444444444E-2</v>
      </c>
      <c r="F96" s="2">
        <v>208</v>
      </c>
      <c r="G96" s="2">
        <v>104</v>
      </c>
    </row>
    <row r="97" spans="1:7" x14ac:dyDescent="0.25">
      <c r="A97" s="12">
        <v>44124</v>
      </c>
      <c r="B97" s="33">
        <v>4</v>
      </c>
      <c r="C97" s="3">
        <v>1421</v>
      </c>
      <c r="D97" s="2">
        <v>0.63</v>
      </c>
      <c r="E97" s="4">
        <v>1.0208333333333333E-2</v>
      </c>
      <c r="F97" s="2">
        <v>109</v>
      </c>
      <c r="G97" s="2">
        <v>107</v>
      </c>
    </row>
    <row r="98" spans="1:7" x14ac:dyDescent="0.25">
      <c r="A98" s="12">
        <v>44125</v>
      </c>
      <c r="B98" s="33">
        <v>1</v>
      </c>
      <c r="C98" s="3">
        <v>2846</v>
      </c>
      <c r="D98" s="2">
        <v>1.25</v>
      </c>
      <c r="E98" s="4">
        <v>1.982638888888889E-2</v>
      </c>
      <c r="F98" s="2">
        <v>212</v>
      </c>
      <c r="G98" s="2">
        <v>104</v>
      </c>
    </row>
    <row r="99" spans="1:7" x14ac:dyDescent="0.25">
      <c r="A99" s="12">
        <v>44125</v>
      </c>
      <c r="B99" s="33">
        <v>2</v>
      </c>
      <c r="C99" s="3">
        <v>1630</v>
      </c>
      <c r="D99" s="2">
        <v>0.71</v>
      </c>
      <c r="E99" s="4">
        <v>1.1504629629629629E-2</v>
      </c>
      <c r="F99" s="2">
        <v>123</v>
      </c>
      <c r="G99" s="2">
        <v>107</v>
      </c>
    </row>
    <row r="100" spans="1:7" x14ac:dyDescent="0.25">
      <c r="A100" s="12">
        <v>44125</v>
      </c>
      <c r="B100" s="33">
        <v>3</v>
      </c>
      <c r="C100" s="3">
        <v>2624</v>
      </c>
      <c r="D100" s="2">
        <v>1.1499999999999999</v>
      </c>
      <c r="E100" s="4">
        <v>1.9421296296296294E-2</v>
      </c>
      <c r="F100" s="2">
        <v>217</v>
      </c>
      <c r="G100" s="2">
        <v>109</v>
      </c>
    </row>
    <row r="101" spans="1:7" x14ac:dyDescent="0.25">
      <c r="A101" s="12">
        <v>44125</v>
      </c>
      <c r="B101" s="33">
        <v>4</v>
      </c>
      <c r="C101" s="3">
        <v>1654</v>
      </c>
      <c r="D101" s="2">
        <v>0.73</v>
      </c>
      <c r="E101" s="4">
        <v>1.1724537037037035E-2</v>
      </c>
      <c r="F101" s="2">
        <v>126</v>
      </c>
      <c r="G101" s="2">
        <v>109</v>
      </c>
    </row>
    <row r="102" spans="1:7" x14ac:dyDescent="0.25">
      <c r="A102" s="12">
        <v>44126</v>
      </c>
      <c r="B102" s="33">
        <v>1</v>
      </c>
      <c r="C102" s="3">
        <v>2976</v>
      </c>
      <c r="D102" s="2">
        <v>1.3</v>
      </c>
      <c r="E102" s="4">
        <v>2.0196759259259258E-2</v>
      </c>
      <c r="F102" s="2">
        <v>227</v>
      </c>
      <c r="G102" s="2">
        <v>107</v>
      </c>
    </row>
    <row r="103" spans="1:7" x14ac:dyDescent="0.25">
      <c r="A103" s="12">
        <v>44126</v>
      </c>
      <c r="B103" s="33">
        <v>2</v>
      </c>
      <c r="C103" s="3">
        <v>1631</v>
      </c>
      <c r="D103" s="2">
        <v>0.71</v>
      </c>
      <c r="E103" s="4">
        <v>1.1145833333333334E-2</v>
      </c>
      <c r="F103" s="2">
        <v>124</v>
      </c>
      <c r="G103" s="2">
        <v>108</v>
      </c>
    </row>
    <row r="104" spans="1:7" x14ac:dyDescent="0.25">
      <c r="A104" s="12">
        <v>44126</v>
      </c>
      <c r="B104" s="33">
        <v>3</v>
      </c>
      <c r="C104" s="3">
        <v>3079</v>
      </c>
      <c r="D104" s="2">
        <v>1.34</v>
      </c>
      <c r="E104" s="4">
        <v>2.1180555555555553E-2</v>
      </c>
      <c r="F104" s="2">
        <v>234</v>
      </c>
      <c r="G104" s="2">
        <v>106</v>
      </c>
    </row>
    <row r="105" spans="1:7" x14ac:dyDescent="0.25">
      <c r="A105" s="12">
        <v>44126</v>
      </c>
      <c r="B105" s="33">
        <v>4</v>
      </c>
      <c r="C105" s="3">
        <v>1435</v>
      </c>
      <c r="D105" s="2">
        <v>0.63</v>
      </c>
      <c r="E105" s="4">
        <v>1.0358796296296295E-2</v>
      </c>
      <c r="F105" s="2">
        <v>110</v>
      </c>
      <c r="G105" s="2">
        <v>104</v>
      </c>
    </row>
    <row r="106" spans="1:7" x14ac:dyDescent="0.25">
      <c r="A106" s="12">
        <v>44127</v>
      </c>
      <c r="B106" s="33">
        <v>1</v>
      </c>
      <c r="C106" s="3">
        <v>1877</v>
      </c>
      <c r="D106" s="2">
        <v>0.82</v>
      </c>
      <c r="E106" s="4">
        <v>1.2673611111111109E-2</v>
      </c>
      <c r="F106" s="2">
        <v>139</v>
      </c>
      <c r="G106" s="2">
        <v>104</v>
      </c>
    </row>
    <row r="107" spans="1:7" x14ac:dyDescent="0.25">
      <c r="A107" s="12">
        <v>44127</v>
      </c>
      <c r="B107" s="33">
        <v>2</v>
      </c>
      <c r="C107" s="3">
        <v>1628</v>
      </c>
      <c r="D107" s="2">
        <v>0.71</v>
      </c>
      <c r="E107" s="4">
        <v>1.1111111111111112E-2</v>
      </c>
      <c r="F107" s="2">
        <v>116</v>
      </c>
      <c r="G107" s="2">
        <v>102</v>
      </c>
    </row>
    <row r="108" spans="1:7" x14ac:dyDescent="0.25">
      <c r="A108" s="12">
        <v>44127</v>
      </c>
      <c r="B108" s="33">
        <v>3</v>
      </c>
      <c r="C108" s="3">
        <v>2644</v>
      </c>
      <c r="D108" s="2">
        <v>1.1499999999999999</v>
      </c>
      <c r="E108" s="4">
        <v>1.8402777777777778E-2</v>
      </c>
      <c r="F108" s="2">
        <v>201</v>
      </c>
      <c r="G108" s="2">
        <v>106</v>
      </c>
    </row>
    <row r="109" spans="1:7" x14ac:dyDescent="0.25">
      <c r="A109" s="12">
        <v>44127</v>
      </c>
      <c r="B109" s="33">
        <v>4</v>
      </c>
      <c r="C109" s="3">
        <v>1609</v>
      </c>
      <c r="D109" s="2">
        <v>0.7</v>
      </c>
      <c r="E109" s="4">
        <v>1.1284722222222222E-2</v>
      </c>
      <c r="F109" s="2">
        <v>116</v>
      </c>
      <c r="G109" s="2">
        <v>105</v>
      </c>
    </row>
    <row r="110" spans="1:7" x14ac:dyDescent="0.25">
      <c r="A110" s="12">
        <v>44128</v>
      </c>
      <c r="B110" s="33">
        <v>1</v>
      </c>
      <c r="C110" s="3">
        <v>5048</v>
      </c>
      <c r="D110" s="2">
        <v>2.2200000000000002</v>
      </c>
      <c r="E110" s="4">
        <v>3.2685185185185185E-2</v>
      </c>
      <c r="F110" s="2">
        <v>378</v>
      </c>
      <c r="G110" s="2">
        <v>110</v>
      </c>
    </row>
    <row r="111" spans="1:7" x14ac:dyDescent="0.25">
      <c r="A111" s="12">
        <v>44128</v>
      </c>
      <c r="B111" s="33">
        <v>2</v>
      </c>
      <c r="C111" s="3">
        <v>3108</v>
      </c>
      <c r="D111" s="2">
        <v>1.36</v>
      </c>
      <c r="E111" s="4">
        <v>2.0648148148148148E-2</v>
      </c>
      <c r="F111" s="2">
        <v>235</v>
      </c>
      <c r="G111" s="2">
        <v>107</v>
      </c>
    </row>
    <row r="112" spans="1:7" x14ac:dyDescent="0.25">
      <c r="A112" s="12">
        <v>44129</v>
      </c>
      <c r="B112" s="33">
        <v>1</v>
      </c>
      <c r="C112" s="3">
        <v>5461</v>
      </c>
      <c r="D112" s="2">
        <v>2.4</v>
      </c>
      <c r="E112" s="4">
        <v>3.5069444444444445E-2</v>
      </c>
      <c r="F112" s="2">
        <v>411</v>
      </c>
      <c r="G112" s="2">
        <v>110</v>
      </c>
    </row>
    <row r="113" spans="1:7" x14ac:dyDescent="0.25">
      <c r="A113" s="12">
        <v>44129</v>
      </c>
      <c r="B113" s="33">
        <v>2</v>
      </c>
      <c r="C113" s="3">
        <v>5423</v>
      </c>
      <c r="D113" s="2">
        <v>2.38</v>
      </c>
      <c r="E113" s="4">
        <v>3.5370370370370365E-2</v>
      </c>
      <c r="F113" s="2">
        <v>418</v>
      </c>
      <c r="G113" s="2">
        <v>113</v>
      </c>
    </row>
    <row r="114" spans="1:7" x14ac:dyDescent="0.25">
      <c r="A114" s="12">
        <v>44130</v>
      </c>
      <c r="B114" s="33">
        <v>1</v>
      </c>
      <c r="C114" s="3">
        <v>1855</v>
      </c>
      <c r="D114" s="2">
        <v>0.81</v>
      </c>
      <c r="E114" s="4">
        <v>1.3402777777777777E-2</v>
      </c>
      <c r="F114" s="2">
        <v>143</v>
      </c>
      <c r="G114" s="2">
        <v>106</v>
      </c>
    </row>
    <row r="115" spans="1:7" x14ac:dyDescent="0.25">
      <c r="A115" s="12">
        <v>44130</v>
      </c>
      <c r="B115" s="33">
        <v>2</v>
      </c>
      <c r="C115" s="3">
        <v>1620</v>
      </c>
      <c r="D115" s="2">
        <v>0.72</v>
      </c>
      <c r="E115" s="4">
        <v>1.1168981481481481E-2</v>
      </c>
      <c r="F115" s="2">
        <v>115</v>
      </c>
      <c r="G115" s="2">
        <v>106</v>
      </c>
    </row>
    <row r="116" spans="1:7" x14ac:dyDescent="0.25">
      <c r="A116" s="12">
        <v>44130</v>
      </c>
      <c r="B116" s="33">
        <v>3</v>
      </c>
      <c r="C116" s="3">
        <v>2536</v>
      </c>
      <c r="D116" s="2">
        <v>1.1000000000000001</v>
      </c>
      <c r="E116" s="4">
        <v>1.8622685185185183E-2</v>
      </c>
      <c r="F116" s="2">
        <v>209</v>
      </c>
      <c r="G116" s="2">
        <v>112</v>
      </c>
    </row>
    <row r="117" spans="1:7" x14ac:dyDescent="0.25">
      <c r="A117" s="12">
        <v>44130</v>
      </c>
      <c r="B117" s="33">
        <v>4</v>
      </c>
      <c r="C117" s="3">
        <v>1426</v>
      </c>
      <c r="D117" s="2">
        <v>0.62</v>
      </c>
      <c r="E117" s="4">
        <v>1.0416666666666666E-2</v>
      </c>
      <c r="F117" s="2">
        <v>109</v>
      </c>
      <c r="G117" s="2">
        <v>106</v>
      </c>
    </row>
    <row r="118" spans="1:7" x14ac:dyDescent="0.25">
      <c r="A118" s="12">
        <v>44131</v>
      </c>
      <c r="B118" s="33">
        <v>1</v>
      </c>
      <c r="C118" s="3">
        <v>2704</v>
      </c>
      <c r="D118" s="2">
        <v>1.18</v>
      </c>
      <c r="E118" s="4">
        <v>1.9398148148148147E-2</v>
      </c>
      <c r="F118" s="2">
        <v>211</v>
      </c>
      <c r="G118" s="2">
        <v>109</v>
      </c>
    </row>
    <row r="119" spans="1:7" x14ac:dyDescent="0.25">
      <c r="A119" s="12">
        <v>44131</v>
      </c>
      <c r="B119" s="33">
        <v>2</v>
      </c>
      <c r="C119" s="3">
        <v>1792</v>
      </c>
      <c r="D119" s="2">
        <v>0.78</v>
      </c>
      <c r="E119" s="4">
        <v>1.2106481481481482E-2</v>
      </c>
      <c r="F119" s="2">
        <v>150</v>
      </c>
      <c r="G119" s="2">
        <v>116</v>
      </c>
    </row>
    <row r="120" spans="1:7" x14ac:dyDescent="0.25">
      <c r="A120" s="12">
        <v>44131</v>
      </c>
      <c r="B120" s="33">
        <v>3</v>
      </c>
      <c r="C120" s="3">
        <v>2547</v>
      </c>
      <c r="D120" s="2">
        <v>1.1200000000000001</v>
      </c>
      <c r="E120" s="4">
        <v>1.7997685185185186E-2</v>
      </c>
      <c r="F120" s="2">
        <v>207</v>
      </c>
      <c r="G120" s="2">
        <v>112</v>
      </c>
    </row>
    <row r="121" spans="1:7" x14ac:dyDescent="0.25">
      <c r="A121" s="12">
        <v>44131</v>
      </c>
      <c r="B121" s="33">
        <v>4</v>
      </c>
      <c r="C121" s="3">
        <v>1406</v>
      </c>
      <c r="D121" s="2">
        <v>0.61</v>
      </c>
      <c r="E121" s="4">
        <v>1.0173611111111111E-2</v>
      </c>
      <c r="F121" s="2">
        <v>106</v>
      </c>
      <c r="G121" s="2">
        <v>107</v>
      </c>
    </row>
    <row r="122" spans="1:7" x14ac:dyDescent="0.25">
      <c r="A122" s="12">
        <v>44132</v>
      </c>
      <c r="B122" s="33">
        <v>1</v>
      </c>
      <c r="C122" s="3">
        <v>2212</v>
      </c>
      <c r="D122" s="2">
        <v>0.97</v>
      </c>
      <c r="E122" s="4">
        <v>1.4884259259259259E-2</v>
      </c>
      <c r="F122" s="2">
        <v>161</v>
      </c>
      <c r="G122" s="2">
        <v>106</v>
      </c>
    </row>
    <row r="123" spans="1:7" x14ac:dyDescent="0.25">
      <c r="A123" s="12">
        <v>44132</v>
      </c>
      <c r="B123" s="33">
        <v>2</v>
      </c>
      <c r="C123" s="3">
        <v>1624</v>
      </c>
      <c r="D123" s="2">
        <v>0.72</v>
      </c>
      <c r="E123" s="4">
        <v>1.105324074074074E-2</v>
      </c>
      <c r="F123" s="2">
        <v>119</v>
      </c>
      <c r="G123" s="2">
        <v>105</v>
      </c>
    </row>
    <row r="124" spans="1:7" x14ac:dyDescent="0.25">
      <c r="A124" s="12">
        <v>44132</v>
      </c>
      <c r="B124" s="33">
        <v>3</v>
      </c>
      <c r="C124" s="3">
        <v>2514</v>
      </c>
      <c r="D124" s="2">
        <v>1.1000000000000001</v>
      </c>
      <c r="E124" s="4">
        <v>1.7430555555555557E-2</v>
      </c>
      <c r="F124" s="2">
        <v>181</v>
      </c>
      <c r="G124" s="2">
        <v>103</v>
      </c>
    </row>
    <row r="125" spans="1:7" x14ac:dyDescent="0.25">
      <c r="A125" s="12">
        <v>44132</v>
      </c>
      <c r="B125" s="33">
        <v>4</v>
      </c>
      <c r="C125" s="3">
        <v>1479</v>
      </c>
      <c r="D125" s="2">
        <v>0.65</v>
      </c>
      <c r="E125" s="4">
        <v>1.037037037037037E-2</v>
      </c>
      <c r="F125" s="2">
        <v>106</v>
      </c>
      <c r="G125" s="2">
        <v>106</v>
      </c>
    </row>
    <row r="126" spans="1:7" x14ac:dyDescent="0.25">
      <c r="A126" s="12">
        <v>44133</v>
      </c>
      <c r="B126" s="33">
        <v>1</v>
      </c>
      <c r="C126" s="3">
        <v>1849</v>
      </c>
      <c r="D126" s="2">
        <v>0.81</v>
      </c>
      <c r="E126" s="4">
        <v>1.2662037037037039E-2</v>
      </c>
      <c r="F126" s="2">
        <v>139</v>
      </c>
      <c r="G126" s="2">
        <v>105</v>
      </c>
    </row>
    <row r="127" spans="1:7" x14ac:dyDescent="0.25">
      <c r="A127" s="12">
        <v>44133</v>
      </c>
      <c r="B127" s="33">
        <v>2</v>
      </c>
      <c r="C127" s="3">
        <v>1606</v>
      </c>
      <c r="D127" s="2">
        <v>0.7</v>
      </c>
      <c r="E127" s="4">
        <v>1.0972222222222223E-2</v>
      </c>
      <c r="F127" s="2">
        <v>122</v>
      </c>
      <c r="G127" s="2">
        <v>109</v>
      </c>
    </row>
    <row r="128" spans="1:7" x14ac:dyDescent="0.25">
      <c r="A128" s="12">
        <v>44133</v>
      </c>
      <c r="B128" s="33">
        <v>3</v>
      </c>
      <c r="C128" s="3">
        <v>4288</v>
      </c>
      <c r="D128" s="2">
        <v>1.88</v>
      </c>
      <c r="E128" s="4">
        <v>2.9814814814814811E-2</v>
      </c>
      <c r="F128" s="2">
        <v>349</v>
      </c>
      <c r="G128" s="2">
        <v>115</v>
      </c>
    </row>
    <row r="129" spans="1:7" x14ac:dyDescent="0.25">
      <c r="A129" s="12">
        <v>44133</v>
      </c>
      <c r="B129" s="33">
        <v>4</v>
      </c>
      <c r="C129" s="3">
        <v>1431</v>
      </c>
      <c r="D129" s="2">
        <v>0.63</v>
      </c>
      <c r="E129" s="4">
        <v>1.0439814814814813E-2</v>
      </c>
      <c r="F129" s="2">
        <v>103</v>
      </c>
      <c r="G129" s="2">
        <v>106</v>
      </c>
    </row>
    <row r="130" spans="1:7" x14ac:dyDescent="0.25">
      <c r="A130" s="12">
        <v>44134</v>
      </c>
      <c r="B130" s="33">
        <v>1</v>
      </c>
      <c r="C130" s="3">
        <v>1846</v>
      </c>
      <c r="D130" s="2">
        <v>0.81</v>
      </c>
      <c r="E130" s="4">
        <v>1.2870370370370372E-2</v>
      </c>
      <c r="F130" s="2">
        <v>132</v>
      </c>
      <c r="G130" s="2">
        <v>104</v>
      </c>
    </row>
    <row r="131" spans="1:7" x14ac:dyDescent="0.25">
      <c r="A131" s="12">
        <v>44134</v>
      </c>
      <c r="B131" s="33">
        <v>2</v>
      </c>
      <c r="C131" s="3">
        <v>1618</v>
      </c>
      <c r="D131" s="2">
        <v>0.71</v>
      </c>
      <c r="E131" s="4">
        <v>1.0902777777777777E-2</v>
      </c>
      <c r="F131" s="2">
        <v>113</v>
      </c>
      <c r="G131" s="2">
        <v>105</v>
      </c>
    </row>
    <row r="132" spans="1:7" x14ac:dyDescent="0.25">
      <c r="A132" s="12">
        <v>44134</v>
      </c>
      <c r="B132" s="33">
        <v>3</v>
      </c>
      <c r="C132" s="3">
        <v>2346</v>
      </c>
      <c r="D132" s="2">
        <v>1.03</v>
      </c>
      <c r="E132" s="4">
        <v>1.6273148148148148E-2</v>
      </c>
      <c r="F132" s="2">
        <v>199</v>
      </c>
      <c r="G132" s="2">
        <v>115</v>
      </c>
    </row>
    <row r="133" spans="1:7" x14ac:dyDescent="0.25">
      <c r="A133" s="12">
        <v>44134</v>
      </c>
      <c r="B133" s="33">
        <v>4</v>
      </c>
      <c r="C133" s="3">
        <v>1410</v>
      </c>
      <c r="D133" s="2">
        <v>0.62</v>
      </c>
      <c r="E133" s="4">
        <v>9.8958333333333329E-3</v>
      </c>
      <c r="F133" s="2">
        <v>104</v>
      </c>
      <c r="G133" s="2">
        <v>104</v>
      </c>
    </row>
    <row r="134" spans="1:7" x14ac:dyDescent="0.25">
      <c r="A134" s="12">
        <v>44135</v>
      </c>
      <c r="B134" s="33">
        <v>2</v>
      </c>
      <c r="C134" s="3">
        <v>5439</v>
      </c>
      <c r="D134" s="2">
        <v>2.39</v>
      </c>
      <c r="E134" s="4">
        <v>3.5289351851851856E-2</v>
      </c>
      <c r="F134" s="2">
        <v>407</v>
      </c>
      <c r="G134" s="2">
        <v>110</v>
      </c>
    </row>
    <row r="135" spans="1:7" x14ac:dyDescent="0.25">
      <c r="A135" s="12">
        <v>44136</v>
      </c>
      <c r="B135" s="33">
        <v>1</v>
      </c>
      <c r="C135" s="3">
        <v>3254</v>
      </c>
      <c r="D135" s="2">
        <v>1.42</v>
      </c>
      <c r="E135" s="4">
        <v>2.2546296296296297E-2</v>
      </c>
      <c r="F135" s="2">
        <v>235</v>
      </c>
      <c r="G135" s="2">
        <v>98</v>
      </c>
    </row>
    <row r="136" spans="1:7" x14ac:dyDescent="0.25">
      <c r="A136" s="12">
        <v>44136</v>
      </c>
      <c r="B136" s="33">
        <v>2</v>
      </c>
      <c r="C136" s="3">
        <v>5420</v>
      </c>
      <c r="D136" s="2">
        <v>2.37</v>
      </c>
      <c r="E136" s="4">
        <v>3.5115740740740746E-2</v>
      </c>
      <c r="F136" s="2">
        <v>394</v>
      </c>
      <c r="G136" s="2">
        <v>106</v>
      </c>
    </row>
    <row r="137" spans="1:7" x14ac:dyDescent="0.25">
      <c r="A137" s="12">
        <v>44137</v>
      </c>
      <c r="B137" s="33">
        <v>1</v>
      </c>
      <c r="C137" s="3">
        <v>1776</v>
      </c>
      <c r="D137" s="2">
        <v>0.78</v>
      </c>
      <c r="E137" s="4">
        <v>1.2083333333333333E-2</v>
      </c>
      <c r="F137" s="2">
        <v>141</v>
      </c>
      <c r="G137" s="2">
        <v>110</v>
      </c>
    </row>
    <row r="138" spans="1:7" x14ac:dyDescent="0.25">
      <c r="A138" s="12">
        <v>44137</v>
      </c>
      <c r="B138" s="33">
        <v>2</v>
      </c>
      <c r="C138" s="3">
        <v>1584</v>
      </c>
      <c r="D138" s="2">
        <v>0.69</v>
      </c>
      <c r="E138" s="4">
        <v>1.1087962962962964E-2</v>
      </c>
      <c r="F138" s="2">
        <v>127</v>
      </c>
      <c r="G138" s="2">
        <v>111</v>
      </c>
    </row>
    <row r="139" spans="1:7" x14ac:dyDescent="0.25">
      <c r="A139" s="12">
        <v>44137</v>
      </c>
      <c r="B139" s="33">
        <v>3</v>
      </c>
      <c r="C139" s="3">
        <v>3002</v>
      </c>
      <c r="D139" s="2">
        <v>1.32</v>
      </c>
      <c r="E139" s="4">
        <v>2.1134259259259259E-2</v>
      </c>
      <c r="F139" s="2">
        <v>242</v>
      </c>
      <c r="G139" s="2">
        <v>109</v>
      </c>
    </row>
    <row r="140" spans="1:7" x14ac:dyDescent="0.25">
      <c r="A140" s="12">
        <v>44137</v>
      </c>
      <c r="B140" s="33">
        <v>4</v>
      </c>
      <c r="C140" s="3">
        <v>1381</v>
      </c>
      <c r="D140" s="2">
        <v>0.6</v>
      </c>
      <c r="E140" s="4">
        <v>9.9884259259259266E-3</v>
      </c>
      <c r="F140" s="2">
        <v>111</v>
      </c>
      <c r="G140" s="2">
        <v>108</v>
      </c>
    </row>
    <row r="141" spans="1:7" x14ac:dyDescent="0.25">
      <c r="A141" s="12">
        <v>44138</v>
      </c>
      <c r="B141" s="33">
        <v>1</v>
      </c>
      <c r="C141" s="3">
        <v>1592</v>
      </c>
      <c r="D141" s="2">
        <v>0.7</v>
      </c>
      <c r="E141" s="4">
        <v>1.1203703703703704E-2</v>
      </c>
      <c r="F141" s="2">
        <v>113</v>
      </c>
      <c r="G141" s="2">
        <v>104</v>
      </c>
    </row>
    <row r="142" spans="1:7" x14ac:dyDescent="0.25">
      <c r="A142" s="12">
        <v>44138</v>
      </c>
      <c r="B142" s="33">
        <v>2</v>
      </c>
      <c r="C142" s="3">
        <v>2513</v>
      </c>
      <c r="D142" s="2">
        <v>1.1000000000000001</v>
      </c>
      <c r="E142" s="4">
        <v>1.7662037037037035E-2</v>
      </c>
      <c r="F142" s="2">
        <v>199</v>
      </c>
      <c r="G142" s="2">
        <v>110</v>
      </c>
    </row>
    <row r="143" spans="1:7" x14ac:dyDescent="0.25">
      <c r="A143" s="12">
        <v>44138</v>
      </c>
      <c r="B143" s="33">
        <v>3</v>
      </c>
      <c r="C143" s="3">
        <v>1633</v>
      </c>
      <c r="D143" s="2">
        <v>0.72</v>
      </c>
      <c r="E143" s="4">
        <v>1.1307870370370371E-2</v>
      </c>
      <c r="F143" s="2">
        <v>124</v>
      </c>
      <c r="G143" s="2">
        <v>109</v>
      </c>
    </row>
    <row r="144" spans="1:7" x14ac:dyDescent="0.25">
      <c r="A144" s="12">
        <v>44139</v>
      </c>
      <c r="B144" s="33">
        <v>1</v>
      </c>
      <c r="C144" s="3">
        <v>2369</v>
      </c>
      <c r="D144" s="2">
        <v>1.04</v>
      </c>
      <c r="E144" s="4">
        <v>1.6030092592592592E-2</v>
      </c>
      <c r="F144" s="2">
        <v>184</v>
      </c>
      <c r="G144" s="2">
        <v>109</v>
      </c>
    </row>
    <row r="145" spans="1:7" x14ac:dyDescent="0.25">
      <c r="A145" s="12">
        <v>44139</v>
      </c>
      <c r="B145" s="33">
        <v>2</v>
      </c>
      <c r="C145" s="3">
        <v>1640</v>
      </c>
      <c r="D145" s="2">
        <v>0.72</v>
      </c>
      <c r="E145" s="4">
        <v>1.1030092592592591E-2</v>
      </c>
      <c r="F145" s="2">
        <v>123</v>
      </c>
      <c r="G145" s="2">
        <v>105</v>
      </c>
    </row>
    <row r="146" spans="1:7" x14ac:dyDescent="0.25">
      <c r="A146" s="12">
        <v>44139</v>
      </c>
      <c r="B146" s="33">
        <v>3</v>
      </c>
      <c r="C146" s="3">
        <v>3200</v>
      </c>
      <c r="D146" s="2">
        <v>1.4</v>
      </c>
      <c r="E146" s="4">
        <v>2.1597222222222223E-2</v>
      </c>
      <c r="F146" s="2">
        <v>248</v>
      </c>
      <c r="G146" s="2">
        <v>110</v>
      </c>
    </row>
    <row r="147" spans="1:7" x14ac:dyDescent="0.25">
      <c r="A147" s="12">
        <v>44139</v>
      </c>
      <c r="B147" s="33">
        <v>4</v>
      </c>
      <c r="C147" s="3">
        <v>1437</v>
      </c>
      <c r="D147" s="2">
        <v>0.63</v>
      </c>
      <c r="E147" s="4">
        <v>1.0081018518518519E-2</v>
      </c>
      <c r="F147" s="2">
        <v>110</v>
      </c>
      <c r="G147" s="2">
        <v>110</v>
      </c>
    </row>
    <row r="148" spans="1:7" x14ac:dyDescent="0.25">
      <c r="A148" s="12">
        <v>44140</v>
      </c>
      <c r="B148" s="33">
        <v>1</v>
      </c>
      <c r="C148" s="3">
        <v>2647</v>
      </c>
      <c r="D148" s="2">
        <v>1.1499999999999999</v>
      </c>
      <c r="E148" s="4">
        <v>1.7986111111111109E-2</v>
      </c>
      <c r="F148" s="2">
        <v>199</v>
      </c>
      <c r="G148" s="2">
        <v>110</v>
      </c>
    </row>
    <row r="149" spans="1:7" x14ac:dyDescent="0.25">
      <c r="A149" s="12">
        <v>44140</v>
      </c>
      <c r="B149" s="33">
        <v>2</v>
      </c>
      <c r="C149" s="3">
        <v>1597</v>
      </c>
      <c r="D149" s="2">
        <v>0.7</v>
      </c>
      <c r="E149" s="4">
        <v>1.0902777777777777E-2</v>
      </c>
      <c r="F149" s="2">
        <v>118</v>
      </c>
      <c r="G149" s="2">
        <v>112</v>
      </c>
    </row>
    <row r="150" spans="1:7" x14ac:dyDescent="0.25">
      <c r="A150" s="12">
        <v>44140</v>
      </c>
      <c r="B150" s="33">
        <v>3</v>
      </c>
      <c r="C150" s="3">
        <v>1974</v>
      </c>
      <c r="D150" s="2">
        <v>0.86</v>
      </c>
      <c r="E150" s="4">
        <v>1.3784722222222224E-2</v>
      </c>
      <c r="F150" s="2">
        <v>170</v>
      </c>
      <c r="G150" s="2">
        <v>118</v>
      </c>
    </row>
    <row r="151" spans="1:7" x14ac:dyDescent="0.25">
      <c r="A151" s="12">
        <v>44140</v>
      </c>
      <c r="B151" s="33">
        <v>4</v>
      </c>
      <c r="C151" s="3">
        <v>1414</v>
      </c>
      <c r="D151" s="2">
        <v>0.62</v>
      </c>
      <c r="E151" s="4">
        <v>1.0081018518518519E-2</v>
      </c>
      <c r="F151" s="2">
        <v>108</v>
      </c>
      <c r="G151" s="2">
        <v>109</v>
      </c>
    </row>
    <row r="152" spans="1:7" x14ac:dyDescent="0.25">
      <c r="A152" s="12">
        <v>44141</v>
      </c>
      <c r="B152" s="33">
        <v>1</v>
      </c>
      <c r="C152" s="3">
        <v>2603</v>
      </c>
      <c r="D152" s="2">
        <v>1.1399999999999999</v>
      </c>
      <c r="E152" s="4">
        <v>1.7534722222222222E-2</v>
      </c>
      <c r="F152" s="2">
        <v>196</v>
      </c>
      <c r="G152" s="2">
        <v>105</v>
      </c>
    </row>
    <row r="153" spans="1:7" x14ac:dyDescent="0.25">
      <c r="A153" s="12">
        <v>44141</v>
      </c>
      <c r="B153" s="33">
        <v>2</v>
      </c>
      <c r="C153" s="3">
        <v>971</v>
      </c>
      <c r="D153" s="2">
        <v>0.42</v>
      </c>
      <c r="E153" s="4">
        <v>6.6898148148148142E-3</v>
      </c>
      <c r="F153" s="2">
        <v>65</v>
      </c>
      <c r="G153" s="2">
        <v>102</v>
      </c>
    </row>
    <row r="154" spans="1:7" x14ac:dyDescent="0.25">
      <c r="A154" s="12">
        <v>44141</v>
      </c>
      <c r="B154" s="33">
        <v>3</v>
      </c>
      <c r="C154" s="3">
        <v>1934</v>
      </c>
      <c r="D154" s="2">
        <v>0.85</v>
      </c>
      <c r="E154" s="4">
        <v>1.2951388888888887E-2</v>
      </c>
      <c r="F154" s="2">
        <v>145</v>
      </c>
      <c r="G154" s="2">
        <v>109</v>
      </c>
    </row>
    <row r="155" spans="1:7" x14ac:dyDescent="0.25">
      <c r="A155" s="12">
        <v>44142</v>
      </c>
      <c r="B155" s="33">
        <v>1</v>
      </c>
      <c r="C155" s="3">
        <v>3932</v>
      </c>
      <c r="D155" s="2">
        <v>1.73</v>
      </c>
      <c r="E155" s="4">
        <v>1.9166666666666669E-2</v>
      </c>
      <c r="F155" s="2">
        <v>277</v>
      </c>
      <c r="G155" s="2">
        <v>105</v>
      </c>
    </row>
    <row r="156" spans="1:7" x14ac:dyDescent="0.25">
      <c r="A156" s="12">
        <v>44143</v>
      </c>
      <c r="B156" s="33">
        <v>1</v>
      </c>
      <c r="C156" s="3">
        <v>5410</v>
      </c>
      <c r="D156" s="2">
        <v>2.38</v>
      </c>
      <c r="E156" s="4">
        <v>3.3969907407407407E-2</v>
      </c>
      <c r="F156" s="2">
        <v>392</v>
      </c>
      <c r="G156" s="2">
        <v>110</v>
      </c>
    </row>
    <row r="157" spans="1:7" x14ac:dyDescent="0.25">
      <c r="A157" s="12">
        <v>44144</v>
      </c>
      <c r="B157" s="33">
        <v>1</v>
      </c>
      <c r="C157" s="3">
        <v>1789</v>
      </c>
      <c r="D157" s="2">
        <v>0.78</v>
      </c>
      <c r="E157" s="4">
        <v>1.2314814814814815E-2</v>
      </c>
      <c r="F157" s="2">
        <v>133</v>
      </c>
      <c r="G157" s="2">
        <v>107</v>
      </c>
    </row>
    <row r="158" spans="1:7" x14ac:dyDescent="0.25">
      <c r="A158" s="12">
        <v>44144</v>
      </c>
      <c r="B158" s="33">
        <v>2</v>
      </c>
      <c r="C158" s="3">
        <v>1600</v>
      </c>
      <c r="D158" s="2">
        <v>0.7</v>
      </c>
      <c r="E158" s="4">
        <v>1.0995370370370371E-2</v>
      </c>
      <c r="F158" s="2">
        <v>123</v>
      </c>
      <c r="G158" s="2">
        <v>109</v>
      </c>
    </row>
    <row r="159" spans="1:7" x14ac:dyDescent="0.25">
      <c r="A159" s="12">
        <v>44144</v>
      </c>
      <c r="B159" s="33">
        <v>3</v>
      </c>
      <c r="C159" s="3">
        <v>2055</v>
      </c>
      <c r="D159" s="2">
        <v>0.9</v>
      </c>
      <c r="E159" s="4">
        <v>1.4733796296296295E-2</v>
      </c>
      <c r="F159" s="2">
        <v>156</v>
      </c>
      <c r="G159" s="2">
        <v>104</v>
      </c>
    </row>
    <row r="160" spans="1:7" x14ac:dyDescent="0.25">
      <c r="A160" s="12">
        <v>44144</v>
      </c>
      <c r="B160" s="33">
        <v>4</v>
      </c>
      <c r="C160" s="3">
        <v>1628</v>
      </c>
      <c r="D160" s="2">
        <v>0.72</v>
      </c>
      <c r="E160" s="4">
        <v>1.1527777777777777E-2</v>
      </c>
      <c r="F160" s="2">
        <v>114</v>
      </c>
      <c r="G160" s="2">
        <v>101</v>
      </c>
    </row>
    <row r="161" spans="1:7" x14ac:dyDescent="0.25">
      <c r="A161" s="12">
        <v>44145</v>
      </c>
      <c r="B161" s="33">
        <v>1</v>
      </c>
      <c r="C161" s="3">
        <v>1184</v>
      </c>
      <c r="D161" s="2">
        <v>0.52</v>
      </c>
      <c r="E161" s="4">
        <v>8.3449074074074085E-3</v>
      </c>
      <c r="F161" s="2">
        <v>82</v>
      </c>
      <c r="G161" s="2">
        <v>103</v>
      </c>
    </row>
    <row r="162" spans="1:7" x14ac:dyDescent="0.25">
      <c r="A162" s="12">
        <v>44145</v>
      </c>
      <c r="B162" s="33">
        <v>2</v>
      </c>
      <c r="C162" s="3">
        <v>1629</v>
      </c>
      <c r="D162" s="2">
        <v>0.72</v>
      </c>
      <c r="E162" s="4">
        <v>1.1099537037037038E-2</v>
      </c>
      <c r="F162" s="2">
        <v>120</v>
      </c>
      <c r="G162" s="2">
        <v>106</v>
      </c>
    </row>
    <row r="163" spans="1:7" x14ac:dyDescent="0.25">
      <c r="A163" s="12">
        <v>44145</v>
      </c>
      <c r="B163" s="33">
        <v>3</v>
      </c>
      <c r="C163" s="3">
        <v>2555</v>
      </c>
      <c r="D163" s="2">
        <v>1.1200000000000001</v>
      </c>
      <c r="E163" s="4">
        <v>1.7465277777777777E-2</v>
      </c>
      <c r="F163" s="2">
        <v>188</v>
      </c>
      <c r="G163" s="2">
        <v>108</v>
      </c>
    </row>
    <row r="164" spans="1:7" x14ac:dyDescent="0.25">
      <c r="A164" s="12">
        <v>44145</v>
      </c>
      <c r="B164" s="33">
        <v>4</v>
      </c>
      <c r="C164" s="3">
        <v>1410</v>
      </c>
      <c r="D164" s="2">
        <v>0.62</v>
      </c>
      <c r="E164" s="4">
        <v>1.0115740740740741E-2</v>
      </c>
      <c r="F164" s="2">
        <v>108</v>
      </c>
      <c r="G164" s="2">
        <v>111</v>
      </c>
    </row>
    <row r="165" spans="1:7" x14ac:dyDescent="0.25">
      <c r="A165" s="12">
        <v>44146</v>
      </c>
      <c r="B165" s="33">
        <v>1</v>
      </c>
      <c r="C165" s="3">
        <v>5488</v>
      </c>
      <c r="D165" s="2">
        <v>2.42</v>
      </c>
      <c r="E165" s="4">
        <v>3.5185185185185187E-2</v>
      </c>
      <c r="F165" s="2">
        <v>387</v>
      </c>
      <c r="G165" s="2">
        <v>106</v>
      </c>
    </row>
    <row r="166" spans="1:7" x14ac:dyDescent="0.25">
      <c r="A166" s="12">
        <v>44147</v>
      </c>
      <c r="B166" s="33">
        <v>1</v>
      </c>
      <c r="C166" s="3">
        <v>2139</v>
      </c>
      <c r="D166" s="2">
        <v>0.93</v>
      </c>
      <c r="E166" s="4">
        <v>1.4155092592592592E-2</v>
      </c>
      <c r="F166" s="2">
        <v>147</v>
      </c>
      <c r="G166" s="2">
        <v>106</v>
      </c>
    </row>
    <row r="167" spans="1:7" x14ac:dyDescent="0.25">
      <c r="A167" s="12">
        <v>44147</v>
      </c>
      <c r="B167" s="33">
        <v>2</v>
      </c>
      <c r="C167" s="3">
        <v>1621</v>
      </c>
      <c r="D167" s="2">
        <v>0.71</v>
      </c>
      <c r="E167" s="4">
        <v>1.074074074074074E-2</v>
      </c>
      <c r="F167" s="2">
        <v>114</v>
      </c>
      <c r="G167" s="2">
        <v>108</v>
      </c>
    </row>
    <row r="168" spans="1:7" x14ac:dyDescent="0.25">
      <c r="A168" s="12">
        <v>44147</v>
      </c>
      <c r="B168" s="33">
        <v>3</v>
      </c>
      <c r="C168" s="3">
        <v>2673</v>
      </c>
      <c r="D168" s="2">
        <v>1.17</v>
      </c>
      <c r="E168" s="4">
        <v>1.8101851851851852E-2</v>
      </c>
      <c r="F168" s="2">
        <v>201</v>
      </c>
      <c r="G168" s="2">
        <v>110</v>
      </c>
    </row>
    <row r="169" spans="1:7" x14ac:dyDescent="0.25">
      <c r="A169" s="12">
        <v>44147</v>
      </c>
      <c r="B169" s="33">
        <v>4</v>
      </c>
      <c r="C169" s="3">
        <v>1628</v>
      </c>
      <c r="D169" s="2">
        <v>0.71</v>
      </c>
      <c r="E169" s="4">
        <v>1.1238425925925928E-2</v>
      </c>
      <c r="F169" s="2">
        <v>114</v>
      </c>
      <c r="G169" s="2">
        <v>108</v>
      </c>
    </row>
    <row r="170" spans="1:7" x14ac:dyDescent="0.25">
      <c r="A170" s="12">
        <v>44149</v>
      </c>
      <c r="B170" s="33">
        <v>1</v>
      </c>
      <c r="C170" s="3">
        <v>5387</v>
      </c>
      <c r="D170" s="2">
        <v>2.37</v>
      </c>
      <c r="E170" s="4">
        <v>3.4791666666666672E-2</v>
      </c>
      <c r="F170" s="2">
        <v>392</v>
      </c>
      <c r="G170" s="2">
        <v>108</v>
      </c>
    </row>
    <row r="171" spans="1:7" x14ac:dyDescent="0.25">
      <c r="A171" s="12">
        <v>44150</v>
      </c>
      <c r="B171" s="33">
        <v>1</v>
      </c>
      <c r="C171" s="3">
        <v>5485</v>
      </c>
      <c r="D171" s="2">
        <v>2.42</v>
      </c>
      <c r="E171" s="4">
        <v>3.4976851851851849E-2</v>
      </c>
      <c r="F171" s="2">
        <v>392</v>
      </c>
      <c r="G171" s="2">
        <v>106</v>
      </c>
    </row>
    <row r="172" spans="1:7" x14ac:dyDescent="0.25">
      <c r="A172" s="12"/>
      <c r="B172" s="33"/>
      <c r="C172" s="3"/>
      <c r="D172" s="2"/>
      <c r="E172" s="4"/>
      <c r="F172" s="2"/>
      <c r="G172" s="2"/>
    </row>
    <row r="173" spans="1:7" x14ac:dyDescent="0.25">
      <c r="A173" s="12"/>
      <c r="B173" s="33"/>
      <c r="C173" s="3"/>
      <c r="D173" s="2"/>
      <c r="E173" s="4"/>
      <c r="F173" s="2"/>
      <c r="G173" s="2"/>
    </row>
    <row r="174" spans="1:7" x14ac:dyDescent="0.25">
      <c r="A174" s="12"/>
      <c r="B174" s="33"/>
      <c r="C174" s="3"/>
      <c r="D174" s="2"/>
      <c r="E174" s="4"/>
      <c r="F174" s="2"/>
      <c r="G174" s="2"/>
    </row>
    <row r="175" spans="1:7" x14ac:dyDescent="0.25">
      <c r="A175" s="12"/>
      <c r="B175" s="33"/>
      <c r="C175" s="3"/>
      <c r="D175" s="2"/>
      <c r="E175" s="4"/>
      <c r="F175" s="2"/>
      <c r="G175" s="2"/>
    </row>
    <row r="176" spans="1:7" x14ac:dyDescent="0.25">
      <c r="A176" s="12"/>
      <c r="B176" s="33"/>
      <c r="C176" s="3"/>
      <c r="D176" s="2"/>
      <c r="E176" s="4"/>
      <c r="F176" s="2"/>
      <c r="G176" s="2"/>
    </row>
    <row r="177" spans="1:7" x14ac:dyDescent="0.25">
      <c r="A177" s="12"/>
      <c r="B177" s="33"/>
      <c r="C177" s="3"/>
      <c r="D177" s="2"/>
      <c r="E177" s="4"/>
      <c r="F177" s="2"/>
      <c r="G177" s="2"/>
    </row>
    <row r="178" spans="1:7" x14ac:dyDescent="0.25">
      <c r="A178" s="12"/>
      <c r="B178" s="33"/>
      <c r="C178" s="3"/>
      <c r="D178" s="2"/>
      <c r="E178" s="4"/>
      <c r="F178" s="2"/>
      <c r="G178" s="2"/>
    </row>
    <row r="179" spans="1:7" x14ac:dyDescent="0.25">
      <c r="A179" s="5" t="s">
        <v>36</v>
      </c>
      <c r="B179" s="5"/>
      <c r="C179" s="5"/>
      <c r="D179" s="5"/>
      <c r="E179" s="5"/>
      <c r="F179" s="11"/>
      <c r="G179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Walking</vt:lpstr>
      <vt:lpstr>Spinning</vt:lpstr>
      <vt:lpstr>BLANK</vt:lpstr>
      <vt:lpstr>tst</vt:lpstr>
      <vt:lpstr>MASTER</vt:lpstr>
      <vt:lpstr>DATE_20</vt:lpstr>
      <vt:lpstr>STEPS_20</vt:lpstr>
    </vt:vector>
  </TitlesOfParts>
  <Company>Savings Bank of Mendocino County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Saranich</dc:creator>
  <cp:lastModifiedBy>Kevin Saranich</cp:lastModifiedBy>
  <cp:lastPrinted>2020-11-10T00:46:24Z</cp:lastPrinted>
  <dcterms:created xsi:type="dcterms:W3CDTF">2020-09-22T15:55:18Z</dcterms:created>
  <dcterms:modified xsi:type="dcterms:W3CDTF">2020-11-20T23:36:24Z</dcterms:modified>
</cp:coreProperties>
</file>