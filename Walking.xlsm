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saranich\Desktop\"/>
    </mc:Choice>
  </mc:AlternateContent>
  <xr:revisionPtr revIDLastSave="0" documentId="13_ncr:1_{B95533D7-F0D0-4E3F-BF53-16965323F743}" xr6:coauthVersionLast="45" xr6:coauthVersionMax="45" xr10:uidLastSave="{00000000-0000-0000-0000-000000000000}"/>
  <bookViews>
    <workbookView xWindow="330" yWindow="915" windowWidth="17835" windowHeight="12750" xr2:uid="{5554447A-29BD-4661-B27C-FC8C1C3DF061}"/>
  </bookViews>
  <sheets>
    <sheet name="Walking" sheetId="1" r:id="rId1"/>
    <sheet name="BLANK" sheetId="4" r:id="rId2"/>
    <sheet name="Pivot" sheetId="2" r:id="rId3"/>
    <sheet name="Spinning" sheetId="3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3" l="1"/>
  <c r="D4" i="3"/>
  <c r="D3" i="3"/>
  <c r="D2" i="3"/>
  <c r="F186" i="1" l="1"/>
  <c r="H190" i="1"/>
  <c r="G190" i="1"/>
  <c r="F190" i="1"/>
  <c r="E190" i="1"/>
  <c r="D190" i="1"/>
  <c r="H189" i="1"/>
  <c r="G189" i="1"/>
  <c r="F189" i="1"/>
  <c r="E189" i="1"/>
  <c r="D189" i="1"/>
  <c r="H188" i="1"/>
  <c r="G188" i="1"/>
  <c r="F188" i="1"/>
  <c r="E188" i="1"/>
  <c r="D188" i="1"/>
  <c r="G186" i="1"/>
  <c r="E186" i="1"/>
  <c r="D186" i="1"/>
  <c r="B187" i="1"/>
  <c r="B186" i="1"/>
  <c r="B41" i="1" l="1"/>
  <c r="B148" i="1"/>
  <c r="F147" i="1"/>
  <c r="G147" i="1" l="1"/>
  <c r="G44" i="1" l="1"/>
  <c r="F44" i="1"/>
  <c r="E44" i="1"/>
  <c r="D44" i="1"/>
  <c r="G43" i="1"/>
  <c r="F43" i="1"/>
  <c r="E43" i="1"/>
  <c r="D43" i="1"/>
  <c r="G42" i="1"/>
  <c r="F42" i="1"/>
  <c r="E42" i="1"/>
  <c r="D42" i="1"/>
  <c r="D149" i="1"/>
  <c r="G151" i="1"/>
  <c r="F151" i="1"/>
  <c r="E151" i="1"/>
  <c r="D151" i="1"/>
  <c r="G150" i="1"/>
  <c r="F150" i="1"/>
  <c r="E150" i="1"/>
  <c r="D150" i="1"/>
  <c r="G149" i="1"/>
  <c r="F149" i="1"/>
  <c r="E149" i="1"/>
  <c r="H42" i="1"/>
  <c r="H151" i="1" l="1"/>
  <c r="H150" i="1"/>
  <c r="H149" i="1"/>
  <c r="E147" i="1"/>
  <c r="D147" i="1"/>
  <c r="B147" i="1"/>
  <c r="F40" i="1" l="1"/>
  <c r="B40" i="1"/>
  <c r="D40" i="1" l="1"/>
  <c r="H44" i="1"/>
  <c r="H43" i="1"/>
  <c r="E40" i="1"/>
  <c r="G40" i="1"/>
</calcChain>
</file>

<file path=xl/sharedStrings.xml><?xml version="1.0" encoding="utf-8"?>
<sst xmlns="http://schemas.openxmlformats.org/spreadsheetml/2006/main" count="101" uniqueCount="40">
  <si>
    <t>DATE</t>
  </si>
  <si>
    <t>STEPS</t>
  </si>
  <si>
    <t>BPM</t>
  </si>
  <si>
    <t>AVG.</t>
  </si>
  <si>
    <t>MIN.</t>
  </si>
  <si>
    <t>MAX</t>
  </si>
  <si>
    <t>TIME</t>
  </si>
  <si>
    <t>MILES</t>
  </si>
  <si>
    <t>CALs</t>
  </si>
  <si>
    <t xml:space="preserve"> STEPS </t>
  </si>
  <si>
    <t xml:space="preserve"> MILES </t>
  </si>
  <si>
    <t xml:space="preserve"> TIME </t>
  </si>
  <si>
    <t xml:space="preserve"> CALs </t>
  </si>
  <si>
    <t xml:space="preserve"> BPM </t>
  </si>
  <si>
    <t>Coast Line</t>
  </si>
  <si>
    <t>#WALKS</t>
  </si>
  <si>
    <t>OCTOBER</t>
  </si>
  <si>
    <t>Sep</t>
  </si>
  <si>
    <t>Smoky Outside</t>
  </si>
  <si>
    <t>TOTALS</t>
  </si>
  <si>
    <t>October</t>
  </si>
  <si>
    <t>September</t>
  </si>
  <si>
    <t>#'s</t>
  </si>
  <si>
    <t>Days</t>
  </si>
  <si>
    <t>w/ coffee</t>
  </si>
  <si>
    <t>Row Labels</t>
  </si>
  <si>
    <t>Grand Total</t>
  </si>
  <si>
    <t xml:space="preserve">Sum of  STEPS </t>
  </si>
  <si>
    <t xml:space="preserve">Sum of  MILES </t>
  </si>
  <si>
    <t xml:space="preserve">Average of  BPM </t>
  </si>
  <si>
    <t>NOVEMBER</t>
  </si>
  <si>
    <t>DURATION</t>
  </si>
  <si>
    <t>RPM's</t>
  </si>
  <si>
    <t>DISTANCE</t>
  </si>
  <si>
    <t>HR</t>
  </si>
  <si>
    <t>CALS</t>
  </si>
  <si>
    <t>FORMULA</t>
  </si>
  <si>
    <t xml:space="preserve"> =(13*B3*C3)/5280</t>
  </si>
  <si>
    <t xml:space="preserve"> =(13*B4*C4)/5280</t>
  </si>
  <si>
    <t xml:space="preserve"> =(13*B5*C5)/5280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</si>
</sst>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mm\-dd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1" fontId="0" fillId="0" borderId="0" xfId="0" applyNumberFormat="1"/>
    <xf numFmtId="0" fontId="0" fillId="0" borderId="1" xfId="0" applyBorder="1"/>
    <xf numFmtId="3" fontId="0" fillId="0" borderId="1" xfId="0" applyNumberFormat="1" applyBorder="1"/>
    <xf numFmtId="21" fontId="0" fillId="0" borderId="1" xfId="0" applyNumberFormat="1" applyBorder="1"/>
    <xf numFmtId="0" fontId="2" fillId="2" borderId="1" xfId="0" applyFont="1" applyFill="1" applyBorder="1" applyAlignment="1">
      <alignment horizontal="center"/>
    </xf>
    <xf numFmtId="0" fontId="1" fillId="0" borderId="0" xfId="0" applyFont="1"/>
    <xf numFmtId="21" fontId="1" fillId="0" borderId="0" xfId="0" applyNumberFormat="1" applyFont="1"/>
    <xf numFmtId="3" fontId="1" fillId="0" borderId="0" xfId="0" applyNumberFormat="1" applyFont="1"/>
    <xf numFmtId="0" fontId="2" fillId="2" borderId="0" xfId="0" applyFont="1" applyFill="1" applyBorder="1" applyAlignment="1">
      <alignment horizontal="center"/>
    </xf>
    <xf numFmtId="0" fontId="0" fillId="0" borderId="1" xfId="0" applyFill="1" applyBorder="1"/>
    <xf numFmtId="0" fontId="2" fillId="2" borderId="2" xfId="0" applyFont="1" applyFill="1" applyBorder="1" applyAlignment="1">
      <alignment horizontal="center"/>
    </xf>
    <xf numFmtId="164" fontId="0" fillId="0" borderId="1" xfId="0" applyNumberFormat="1" applyBorder="1"/>
    <xf numFmtId="0" fontId="1" fillId="0" borderId="0" xfId="0" applyFont="1" applyAlignment="1">
      <alignment horizontal="center"/>
    </xf>
    <xf numFmtId="20" fontId="0" fillId="0" borderId="0" xfId="0" applyNumberFormat="1"/>
    <xf numFmtId="1" fontId="0" fillId="0" borderId="1" xfId="0" applyNumberFormat="1" applyFont="1" applyBorder="1"/>
    <xf numFmtId="2" fontId="0" fillId="0" borderId="1" xfId="0" applyNumberFormat="1" applyFont="1" applyBorder="1"/>
    <xf numFmtId="21" fontId="0" fillId="0" borderId="1" xfId="0" applyNumberFormat="1" applyFont="1" applyBorder="1"/>
    <xf numFmtId="3" fontId="0" fillId="0" borderId="1" xfId="0" applyNumberFormat="1" applyFont="1" applyBorder="1"/>
    <xf numFmtId="0" fontId="3" fillId="2" borderId="3" xfId="0" applyFont="1" applyFill="1" applyBorder="1" applyAlignment="1">
      <alignment horizontal="right"/>
    </xf>
    <xf numFmtId="3" fontId="0" fillId="0" borderId="4" xfId="0" applyNumberFormat="1" applyFont="1" applyBorder="1"/>
    <xf numFmtId="2" fontId="0" fillId="0" borderId="4" xfId="0" applyNumberFormat="1" applyFont="1" applyBorder="1"/>
    <xf numFmtId="21" fontId="0" fillId="0" borderId="4" xfId="0" applyNumberFormat="1" applyFont="1" applyBorder="1"/>
    <xf numFmtId="1" fontId="0" fillId="0" borderId="4" xfId="0" applyNumberFormat="1" applyFont="1" applyBorder="1"/>
    <xf numFmtId="0" fontId="4" fillId="2" borderId="5" xfId="0" applyFont="1" applyFill="1" applyBorder="1"/>
    <xf numFmtId="0" fontId="4" fillId="2" borderId="7" xfId="0" applyFont="1" applyFill="1" applyBorder="1"/>
    <xf numFmtId="0" fontId="3" fillId="2" borderId="8" xfId="0" applyFont="1" applyFill="1" applyBorder="1" applyAlignment="1">
      <alignment horizontal="right"/>
    </xf>
    <xf numFmtId="3" fontId="0" fillId="0" borderId="9" xfId="0" applyNumberFormat="1" applyFont="1" applyBorder="1"/>
    <xf numFmtId="2" fontId="0" fillId="0" borderId="9" xfId="0" applyNumberFormat="1" applyFont="1" applyBorder="1"/>
    <xf numFmtId="21" fontId="0" fillId="0" borderId="9" xfId="0" applyNumberFormat="1" applyFont="1" applyBorder="1"/>
    <xf numFmtId="1" fontId="0" fillId="0" borderId="9" xfId="0" applyNumberFormat="1" applyFont="1" applyBorder="1"/>
    <xf numFmtId="0" fontId="4" fillId="2" borderId="10" xfId="0" applyFont="1" applyFill="1" applyBorder="1"/>
    <xf numFmtId="0" fontId="3" fillId="2" borderId="6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46" fontId="1" fillId="0" borderId="0" xfId="0" applyNumberFormat="1" applyFont="1"/>
    <xf numFmtId="0" fontId="0" fillId="0" borderId="0" xfId="0" applyFill="1" applyBorder="1"/>
    <xf numFmtId="0" fontId="0" fillId="0" borderId="0" xfId="0" pivotButton="1"/>
    <xf numFmtId="164" fontId="0" fillId="0" borderId="0" xfId="0" applyNumberFormat="1" applyAlignment="1">
      <alignment horizontal="left"/>
    </xf>
    <xf numFmtId="0" fontId="0" fillId="0" borderId="0" xfId="0" applyNumberFormat="1"/>
    <xf numFmtId="2" fontId="0" fillId="0" borderId="0" xfId="0" applyNumberFormat="1"/>
    <xf numFmtId="1" fontId="0" fillId="0" borderId="0" xfId="0" applyNumberFormat="1" applyBorder="1" applyAlignment="1">
      <alignment horizontal="center"/>
    </xf>
    <xf numFmtId="20" fontId="0" fillId="0" borderId="0" xfId="0" applyNumberFormat="1" applyBorder="1"/>
    <xf numFmtId="0" fontId="1" fillId="0" borderId="0" xfId="0" applyNumberFormat="1" applyFont="1"/>
    <xf numFmtId="0" fontId="0" fillId="0" borderId="0" xfId="0" applyNumberFormat="1" applyBorder="1"/>
    <xf numFmtId="3" fontId="0" fillId="0" borderId="0" xfId="0" applyNumberFormat="1" applyBorder="1"/>
    <xf numFmtId="46" fontId="0" fillId="0" borderId="0" xfId="0" applyNumberFormat="1" applyBorder="1"/>
    <xf numFmtId="0" fontId="3" fillId="2" borderId="0" xfId="0" applyFont="1" applyFill="1" applyAlignment="1">
      <alignment horizontal="center"/>
    </xf>
    <xf numFmtId="165" fontId="0" fillId="0" borderId="1" xfId="0" applyNumberFormat="1" applyBorder="1"/>
    <xf numFmtId="2" fontId="0" fillId="0" borderId="1" xfId="0" applyNumberFormat="1" applyBorder="1"/>
    <xf numFmtId="0" fontId="0" fillId="0" borderId="2" xfId="0" applyBorder="1"/>
    <xf numFmtId="0" fontId="0" fillId="0" borderId="1" xfId="0" quotePrefix="1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[Walking.xlsm]Pivot!PivotTable1</c:name>
    <c:fmtId val="2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Pivot!$J$1</c:f>
              <c:strCache>
                <c:ptCount val="1"/>
                <c:pt idx="0">
                  <c:v>Sum of  STEPS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Pivot!$I$2:$I$30</c:f>
              <c:strCache>
                <c:ptCount val="28"/>
                <c:pt idx="0">
                  <c:v>10/01/20</c:v>
                </c:pt>
                <c:pt idx="1">
                  <c:v>10/02/20</c:v>
                </c:pt>
                <c:pt idx="2">
                  <c:v>10/03/20</c:v>
                </c:pt>
                <c:pt idx="3">
                  <c:v>10/04/20</c:v>
                </c:pt>
                <c:pt idx="4">
                  <c:v>10/05/20</c:v>
                </c:pt>
                <c:pt idx="5">
                  <c:v>10/06/20</c:v>
                </c:pt>
                <c:pt idx="6">
                  <c:v>10/07/20</c:v>
                </c:pt>
                <c:pt idx="7">
                  <c:v>10/08/20</c:v>
                </c:pt>
                <c:pt idx="8">
                  <c:v>10/09/20</c:v>
                </c:pt>
                <c:pt idx="9">
                  <c:v>10/10/20</c:v>
                </c:pt>
                <c:pt idx="10">
                  <c:v>10/11/20</c:v>
                </c:pt>
                <c:pt idx="11">
                  <c:v>10/13/20</c:v>
                </c:pt>
                <c:pt idx="12">
                  <c:v>10/14/20</c:v>
                </c:pt>
                <c:pt idx="13">
                  <c:v>10/15/20</c:v>
                </c:pt>
                <c:pt idx="14">
                  <c:v>10/16/20</c:v>
                </c:pt>
                <c:pt idx="15">
                  <c:v>10/17/20</c:v>
                </c:pt>
                <c:pt idx="16">
                  <c:v>10/18/20</c:v>
                </c:pt>
                <c:pt idx="17">
                  <c:v>10/19/20</c:v>
                </c:pt>
                <c:pt idx="18">
                  <c:v>10/20/20</c:v>
                </c:pt>
                <c:pt idx="19">
                  <c:v>10/21/20</c:v>
                </c:pt>
                <c:pt idx="20">
                  <c:v>10/22/20</c:v>
                </c:pt>
                <c:pt idx="21">
                  <c:v>10/23/20</c:v>
                </c:pt>
                <c:pt idx="22">
                  <c:v>10/24/20</c:v>
                </c:pt>
                <c:pt idx="23">
                  <c:v>10/25/20</c:v>
                </c:pt>
                <c:pt idx="24">
                  <c:v>10/26/20</c:v>
                </c:pt>
                <c:pt idx="25">
                  <c:v>10/27/20</c:v>
                </c:pt>
                <c:pt idx="26">
                  <c:v>10/28/20</c:v>
                </c:pt>
                <c:pt idx="27">
                  <c:v>10/29/20</c:v>
                </c:pt>
              </c:strCache>
            </c:strRef>
          </c:cat>
          <c:val>
            <c:numRef>
              <c:f>Pivot!$J$2:$J$30</c:f>
              <c:numCache>
                <c:formatCode>General</c:formatCode>
                <c:ptCount val="28"/>
                <c:pt idx="0">
                  <c:v>6668</c:v>
                </c:pt>
                <c:pt idx="1">
                  <c:v>7415</c:v>
                </c:pt>
                <c:pt idx="2">
                  <c:v>5737</c:v>
                </c:pt>
                <c:pt idx="3">
                  <c:v>3215</c:v>
                </c:pt>
                <c:pt idx="4">
                  <c:v>7150</c:v>
                </c:pt>
                <c:pt idx="5">
                  <c:v>6753</c:v>
                </c:pt>
                <c:pt idx="6">
                  <c:v>7768</c:v>
                </c:pt>
                <c:pt idx="7">
                  <c:v>12626</c:v>
                </c:pt>
                <c:pt idx="8">
                  <c:v>7796</c:v>
                </c:pt>
                <c:pt idx="9">
                  <c:v>517</c:v>
                </c:pt>
                <c:pt idx="10">
                  <c:v>5397</c:v>
                </c:pt>
                <c:pt idx="11">
                  <c:v>7762</c:v>
                </c:pt>
                <c:pt idx="12">
                  <c:v>7704</c:v>
                </c:pt>
                <c:pt idx="13">
                  <c:v>8349</c:v>
                </c:pt>
                <c:pt idx="14">
                  <c:v>7651</c:v>
                </c:pt>
                <c:pt idx="15">
                  <c:v>5086</c:v>
                </c:pt>
                <c:pt idx="16">
                  <c:v>8178</c:v>
                </c:pt>
                <c:pt idx="17">
                  <c:v>7451</c:v>
                </c:pt>
                <c:pt idx="18">
                  <c:v>8068</c:v>
                </c:pt>
                <c:pt idx="19">
                  <c:v>8754</c:v>
                </c:pt>
                <c:pt idx="20">
                  <c:v>9121</c:v>
                </c:pt>
                <c:pt idx="21">
                  <c:v>7758</c:v>
                </c:pt>
                <c:pt idx="22">
                  <c:v>8156</c:v>
                </c:pt>
                <c:pt idx="23">
                  <c:v>10884</c:v>
                </c:pt>
                <c:pt idx="24">
                  <c:v>7437</c:v>
                </c:pt>
                <c:pt idx="25">
                  <c:v>8449</c:v>
                </c:pt>
                <c:pt idx="26">
                  <c:v>7829</c:v>
                </c:pt>
                <c:pt idx="27">
                  <c:v>9174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A1-4EEE-A7C0-91C84681D843}"/>
            </c:ext>
          </c:extLst>
        </c:ser>
        <c:ser>
          <c:idx val="1"/>
          <c:order val="1"/>
          <c:tx>
            <c:strRef>
              <c:f>Pivot!$K$1</c:f>
              <c:strCache>
                <c:ptCount val="1"/>
                <c:pt idx="0">
                  <c:v>Sum of  MILES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Pivot!$I$2:$I$30</c:f>
              <c:strCache>
                <c:ptCount val="28"/>
                <c:pt idx="0">
                  <c:v>10/01/20</c:v>
                </c:pt>
                <c:pt idx="1">
                  <c:v>10/02/20</c:v>
                </c:pt>
                <c:pt idx="2">
                  <c:v>10/03/20</c:v>
                </c:pt>
                <c:pt idx="3">
                  <c:v>10/04/20</c:v>
                </c:pt>
                <c:pt idx="4">
                  <c:v>10/05/20</c:v>
                </c:pt>
                <c:pt idx="5">
                  <c:v>10/06/20</c:v>
                </c:pt>
                <c:pt idx="6">
                  <c:v>10/07/20</c:v>
                </c:pt>
                <c:pt idx="7">
                  <c:v>10/08/20</c:v>
                </c:pt>
                <c:pt idx="8">
                  <c:v>10/09/20</c:v>
                </c:pt>
                <c:pt idx="9">
                  <c:v>10/10/20</c:v>
                </c:pt>
                <c:pt idx="10">
                  <c:v>10/11/20</c:v>
                </c:pt>
                <c:pt idx="11">
                  <c:v>10/13/20</c:v>
                </c:pt>
                <c:pt idx="12">
                  <c:v>10/14/20</c:v>
                </c:pt>
                <c:pt idx="13">
                  <c:v>10/15/20</c:v>
                </c:pt>
                <c:pt idx="14">
                  <c:v>10/16/20</c:v>
                </c:pt>
                <c:pt idx="15">
                  <c:v>10/17/20</c:v>
                </c:pt>
                <c:pt idx="16">
                  <c:v>10/18/20</c:v>
                </c:pt>
                <c:pt idx="17">
                  <c:v>10/19/20</c:v>
                </c:pt>
                <c:pt idx="18">
                  <c:v>10/20/20</c:v>
                </c:pt>
                <c:pt idx="19">
                  <c:v>10/21/20</c:v>
                </c:pt>
                <c:pt idx="20">
                  <c:v>10/22/20</c:v>
                </c:pt>
                <c:pt idx="21">
                  <c:v>10/23/20</c:v>
                </c:pt>
                <c:pt idx="22">
                  <c:v>10/24/20</c:v>
                </c:pt>
                <c:pt idx="23">
                  <c:v>10/25/20</c:v>
                </c:pt>
                <c:pt idx="24">
                  <c:v>10/26/20</c:v>
                </c:pt>
                <c:pt idx="25">
                  <c:v>10/27/20</c:v>
                </c:pt>
                <c:pt idx="26">
                  <c:v>10/28/20</c:v>
                </c:pt>
                <c:pt idx="27">
                  <c:v>10/29/20</c:v>
                </c:pt>
              </c:strCache>
            </c:strRef>
          </c:cat>
          <c:val>
            <c:numRef>
              <c:f>Pivot!$K$2:$K$30</c:f>
              <c:numCache>
                <c:formatCode>General</c:formatCode>
                <c:ptCount val="28"/>
                <c:pt idx="0">
                  <c:v>2.91</c:v>
                </c:pt>
                <c:pt idx="1">
                  <c:v>3.29</c:v>
                </c:pt>
                <c:pt idx="2">
                  <c:v>2.5</c:v>
                </c:pt>
                <c:pt idx="3">
                  <c:v>1.41</c:v>
                </c:pt>
                <c:pt idx="4">
                  <c:v>3.13</c:v>
                </c:pt>
                <c:pt idx="5">
                  <c:v>2.9499999999999997</c:v>
                </c:pt>
                <c:pt idx="6">
                  <c:v>3.4000000000000004</c:v>
                </c:pt>
                <c:pt idx="7">
                  <c:v>5.37</c:v>
                </c:pt>
                <c:pt idx="8">
                  <c:v>3.42</c:v>
                </c:pt>
                <c:pt idx="9">
                  <c:v>2.2599999999999998</c:v>
                </c:pt>
                <c:pt idx="10">
                  <c:v>2.4</c:v>
                </c:pt>
                <c:pt idx="11">
                  <c:v>3.38</c:v>
                </c:pt>
                <c:pt idx="12">
                  <c:v>3.38</c:v>
                </c:pt>
                <c:pt idx="13">
                  <c:v>3.66</c:v>
                </c:pt>
                <c:pt idx="14">
                  <c:v>3.36</c:v>
                </c:pt>
                <c:pt idx="15">
                  <c:v>2.25</c:v>
                </c:pt>
                <c:pt idx="16">
                  <c:v>3.58</c:v>
                </c:pt>
                <c:pt idx="17">
                  <c:v>3.27</c:v>
                </c:pt>
                <c:pt idx="18">
                  <c:v>3.54</c:v>
                </c:pt>
                <c:pt idx="19">
                  <c:v>3.84</c:v>
                </c:pt>
                <c:pt idx="20">
                  <c:v>3.9799999999999995</c:v>
                </c:pt>
                <c:pt idx="21">
                  <c:v>3.38</c:v>
                </c:pt>
                <c:pt idx="22">
                  <c:v>3.58</c:v>
                </c:pt>
                <c:pt idx="23">
                  <c:v>4.7799999999999994</c:v>
                </c:pt>
                <c:pt idx="24">
                  <c:v>3.25</c:v>
                </c:pt>
                <c:pt idx="25">
                  <c:v>3.69</c:v>
                </c:pt>
                <c:pt idx="26">
                  <c:v>3.44</c:v>
                </c:pt>
                <c:pt idx="27">
                  <c:v>4.0199999999999996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A1-4EEE-A7C0-91C84681D843}"/>
            </c:ext>
          </c:extLst>
        </c:ser>
        <c:ser>
          <c:idx val="2"/>
          <c:order val="2"/>
          <c:tx>
            <c:strRef>
              <c:f>Pivot!$L$1</c:f>
              <c:strCache>
                <c:ptCount val="1"/>
                <c:pt idx="0">
                  <c:v>Average of  BPM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Pivot!$I$2:$I$30</c:f>
              <c:strCache>
                <c:ptCount val="28"/>
                <c:pt idx="0">
                  <c:v>10/01/20</c:v>
                </c:pt>
                <c:pt idx="1">
                  <c:v>10/02/20</c:v>
                </c:pt>
                <c:pt idx="2">
                  <c:v>10/03/20</c:v>
                </c:pt>
                <c:pt idx="3">
                  <c:v>10/04/20</c:v>
                </c:pt>
                <c:pt idx="4">
                  <c:v>10/05/20</c:v>
                </c:pt>
                <c:pt idx="5">
                  <c:v>10/06/20</c:v>
                </c:pt>
                <c:pt idx="6">
                  <c:v>10/07/20</c:v>
                </c:pt>
                <c:pt idx="7">
                  <c:v>10/08/20</c:v>
                </c:pt>
                <c:pt idx="8">
                  <c:v>10/09/20</c:v>
                </c:pt>
                <c:pt idx="9">
                  <c:v>10/10/20</c:v>
                </c:pt>
                <c:pt idx="10">
                  <c:v>10/11/20</c:v>
                </c:pt>
                <c:pt idx="11">
                  <c:v>10/13/20</c:v>
                </c:pt>
                <c:pt idx="12">
                  <c:v>10/14/20</c:v>
                </c:pt>
                <c:pt idx="13">
                  <c:v>10/15/20</c:v>
                </c:pt>
                <c:pt idx="14">
                  <c:v>10/16/20</c:v>
                </c:pt>
                <c:pt idx="15">
                  <c:v>10/17/20</c:v>
                </c:pt>
                <c:pt idx="16">
                  <c:v>10/18/20</c:v>
                </c:pt>
                <c:pt idx="17">
                  <c:v>10/19/20</c:v>
                </c:pt>
                <c:pt idx="18">
                  <c:v>10/20/20</c:v>
                </c:pt>
                <c:pt idx="19">
                  <c:v>10/21/20</c:v>
                </c:pt>
                <c:pt idx="20">
                  <c:v>10/22/20</c:v>
                </c:pt>
                <c:pt idx="21">
                  <c:v>10/23/20</c:v>
                </c:pt>
                <c:pt idx="22">
                  <c:v>10/24/20</c:v>
                </c:pt>
                <c:pt idx="23">
                  <c:v>10/25/20</c:v>
                </c:pt>
                <c:pt idx="24">
                  <c:v>10/26/20</c:v>
                </c:pt>
                <c:pt idx="25">
                  <c:v>10/27/20</c:v>
                </c:pt>
                <c:pt idx="26">
                  <c:v>10/28/20</c:v>
                </c:pt>
                <c:pt idx="27">
                  <c:v>10/29/20</c:v>
                </c:pt>
              </c:strCache>
            </c:strRef>
          </c:cat>
          <c:val>
            <c:numRef>
              <c:f>Pivot!$L$2:$L$30</c:f>
              <c:numCache>
                <c:formatCode>0.00</c:formatCode>
                <c:ptCount val="28"/>
                <c:pt idx="0">
                  <c:v>111</c:v>
                </c:pt>
                <c:pt idx="1">
                  <c:v>105.25</c:v>
                </c:pt>
                <c:pt idx="2">
                  <c:v>110</c:v>
                </c:pt>
                <c:pt idx="3">
                  <c:v>121</c:v>
                </c:pt>
                <c:pt idx="4">
                  <c:v>114.5</c:v>
                </c:pt>
                <c:pt idx="5">
                  <c:v>111.25</c:v>
                </c:pt>
                <c:pt idx="6">
                  <c:v>110</c:v>
                </c:pt>
                <c:pt idx="7">
                  <c:v>106.6</c:v>
                </c:pt>
                <c:pt idx="8">
                  <c:v>108.75</c:v>
                </c:pt>
                <c:pt idx="9">
                  <c:v>111</c:v>
                </c:pt>
                <c:pt idx="10">
                  <c:v>110</c:v>
                </c:pt>
                <c:pt idx="11">
                  <c:v>106</c:v>
                </c:pt>
                <c:pt idx="12">
                  <c:v>108.25</c:v>
                </c:pt>
                <c:pt idx="13">
                  <c:v>108.25</c:v>
                </c:pt>
                <c:pt idx="14">
                  <c:v>107.75</c:v>
                </c:pt>
                <c:pt idx="15">
                  <c:v>113</c:v>
                </c:pt>
                <c:pt idx="16">
                  <c:v>102.5</c:v>
                </c:pt>
                <c:pt idx="17">
                  <c:v>106.25</c:v>
                </c:pt>
                <c:pt idx="18">
                  <c:v>104.75</c:v>
                </c:pt>
                <c:pt idx="19">
                  <c:v>107.25</c:v>
                </c:pt>
                <c:pt idx="20">
                  <c:v>106.25</c:v>
                </c:pt>
                <c:pt idx="21">
                  <c:v>104.25</c:v>
                </c:pt>
                <c:pt idx="22">
                  <c:v>108.5</c:v>
                </c:pt>
                <c:pt idx="23">
                  <c:v>111.5</c:v>
                </c:pt>
                <c:pt idx="24">
                  <c:v>107.5</c:v>
                </c:pt>
                <c:pt idx="25">
                  <c:v>111</c:v>
                </c:pt>
                <c:pt idx="26">
                  <c:v>105</c:v>
                </c:pt>
                <c:pt idx="27">
                  <c:v>108.75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A1-4EEE-A7C0-91C84681D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5855808"/>
        <c:axId val="647714928"/>
      </c:lineChart>
      <c:catAx>
        <c:axId val="67585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4928"/>
        <c:crosses val="autoZero"/>
        <c:auto val="1"/>
        <c:lblAlgn val="ctr"/>
        <c:lblOffset val="100"/>
        <c:noMultiLvlLbl val="0"/>
      </c:catAx>
      <c:valAx>
        <c:axId val="64771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85580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28575</xdr:rowOff>
        </xdr:from>
        <xdr:to>
          <xdr:col>12</xdr:col>
          <xdr:colOff>19050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"TAGs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31</xdr:row>
      <xdr:rowOff>42862</xdr:rowOff>
    </xdr:from>
    <xdr:to>
      <xdr:col>12</xdr:col>
      <xdr:colOff>552450</xdr:colOff>
      <xdr:row>45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in Saranich" refreshedDate="44134.548582870368" createdVersion="6" refreshedVersion="6" minRefreshableVersion="3" recordCount="92" xr:uid="{F2E1575F-66FD-4210-AF33-7D1EE679C5A1}">
  <cacheSource type="worksheet">
    <worksheetSource ref="A1:G93" sheet="Pivot"/>
  </cacheSource>
  <cacheFields count="9">
    <cacheField name="DATE" numFmtId="164">
      <sharedItems containsSemiMixedTypes="0" containsNonDate="0" containsDate="1" containsString="0" minDate="2020-10-01T00:00:00" maxDate="2020-10-30T00:00:00" count="28"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</sharedItems>
    </cacheField>
    <cacheField name="#'s" numFmtId="1">
      <sharedItems containsSemiMixedTypes="0" containsString="0" containsNumber="1" containsInteger="1" minValue="1" maxValue="5"/>
    </cacheField>
    <cacheField name=" STEPS " numFmtId="3">
      <sharedItems containsSemiMixedTypes="0" containsString="0" containsNumber="1" containsInteger="1" minValue="517" maxValue="5737"/>
    </cacheField>
    <cacheField name=" MILES " numFmtId="0">
      <sharedItems containsSemiMixedTypes="0" containsString="0" containsNumber="1" minValue="0.52" maxValue="2.5"/>
    </cacheField>
    <cacheField name=" TIME " numFmtId="21">
      <sharedItems containsSemiMixedTypes="0" containsNonDate="0" containsDate="1" containsString="0" minDate="1899-12-30T00:11:51" maxDate="1899-12-30T00:53:34" count="85">
        <d v="1899-12-30T00:13:05"/>
        <d v="1899-12-30T00:16:45"/>
        <d v="1899-12-30T00:18:51"/>
        <d v="1899-12-30T00:17:59"/>
        <d v="1899-12-30T00:11:51"/>
        <d v="1899-12-30T00:16:56"/>
        <d v="1899-12-30T00:31:15"/>
        <d v="1899-12-30T00:14:07"/>
        <d v="1899-12-30T00:53:34"/>
        <d v="1899-12-30T00:30:42"/>
        <d v="1899-12-30T00:16:48"/>
        <d v="1899-12-30T00:14:50"/>
        <d v="1899-12-30T00:27:06"/>
        <d v="1899-12-30T00:15:00"/>
        <d v="1899-12-30T00:12:51"/>
        <d v="1899-12-30T00:15:36"/>
        <d v="1899-12-30T00:27:54"/>
        <d v="1899-12-30T00:15:13"/>
        <d v="1899-12-30T00:14:42"/>
        <d v="1899-12-30T00:15:58"/>
        <d v="1899-12-30T00:31:20"/>
        <d v="1899-12-30T00:16:53"/>
        <d v="1899-12-30T00:21:18"/>
        <d v="1899-12-30T00:17:04"/>
        <d v="1899-12-30T00:40:54"/>
        <d v="1899-12-30T00:16:39"/>
        <d v="1899-12-30T00:40:00"/>
        <d v="1899-12-30T00:18:32"/>
        <d v="1899-12-30T00:16:15"/>
        <d v="1899-12-30T00:26:23"/>
        <d v="1899-12-30T00:17:14"/>
        <d v="1899-12-30T00:48:22"/>
        <d v="1899-12-30T00:52:49"/>
        <d v="1899-12-30T00:18:25"/>
        <d v="1899-12-30T00:16:26"/>
        <d v="1899-12-30T00:30:32"/>
        <d v="1899-12-30T00:28:17"/>
        <d v="1899-12-30T00:21:17"/>
        <d v="1899-12-30T00:16:58"/>
        <d v="1899-12-30T00:28:03"/>
        <d v="1899-12-30T00:15:03"/>
        <d v="1899-12-30T00:22:27"/>
        <d v="1899-12-30T00:17:02"/>
        <d v="1899-12-30T00:27:43"/>
        <d v="1899-12-30T00:16:52"/>
        <d v="1899-12-30T00:18:46"/>
        <d v="1899-12-30T00:16:25"/>
        <d v="1899-12-30T00:26:50"/>
        <d v="1899-12-30T00:15:15"/>
        <d v="1899-12-30T00:47:42"/>
        <d v="1899-12-30T00:50:08"/>
        <d v="1899-12-30T00:18:26"/>
        <d v="1899-12-30T00:15:56"/>
        <d v="1899-12-30T00:14:51"/>
        <d v="1899-12-30T00:24:17"/>
        <d v="1899-12-30T00:27:33"/>
        <d v="1899-12-30T00:28:33"/>
        <d v="1899-12-30T00:16:34"/>
        <d v="1899-12-30T00:27:58"/>
        <d v="1899-12-30T00:29:05"/>
        <d v="1899-12-30T00:16:03"/>
        <d v="1899-12-30T00:30:30"/>
        <d v="1899-12-30T00:14:55"/>
        <d v="1899-12-30T00:18:15"/>
        <d v="1899-12-30T00:16:00"/>
        <d v="1899-12-30T00:26:30"/>
        <d v="1899-12-30T00:47:04"/>
        <d v="1899-12-30T00:29:44"/>
        <d v="1899-12-30T00:50:30"/>
        <d v="1899-12-30T00:50:56"/>
        <d v="1899-12-30T00:19:18"/>
        <d v="1899-12-30T00:16:05"/>
        <d v="1899-12-30T00:26:49"/>
        <d v="1899-12-30T00:27:56"/>
        <d v="1899-12-30T00:17:26"/>
        <d v="1899-12-30T00:25:55"/>
        <d v="1899-12-30T00:14:39"/>
        <d v="1899-12-30T00:21:26"/>
        <d v="1899-12-30T00:15:55"/>
        <d v="1899-12-30T00:25:06"/>
        <d v="1899-12-30T00:14:56"/>
        <d v="1899-12-30T00:18:14"/>
        <d v="1899-12-30T00:15:48"/>
        <d v="1899-12-30T00:42:56"/>
        <d v="1899-12-30T00:15:02"/>
      </sharedItems>
      <fieldGroup par="8" base="4">
        <rangePr groupBy="seconds" startDate="1899-12-30T00:11:51" endDate="1899-12-30T00:53:34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 CALs " numFmtId="0">
      <sharedItems containsSemiMixedTypes="0" containsString="0" containsNumber="1" containsInteger="1" minValue="76" maxValue="429"/>
    </cacheField>
    <cacheField name=" BPM " numFmtId="0">
      <sharedItems containsSemiMixedTypes="0" containsString="0" containsNumber="1" containsInteger="1" minValue="91" maxValue="121"/>
    </cacheField>
    <cacheField name="Minutes" numFmtId="0" databaseField="0">
      <fieldGroup base="4">
        <rangePr groupBy="minutes" startDate="1899-12-30T00:11:51" endDate="1899-12-30T00:53:34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" numFmtId="0" databaseField="0">
      <fieldGroup base="4">
        <rangePr groupBy="hours" startDate="1899-12-30T00:11:51" endDate="1899-12-30T00:53:34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x v="0"/>
    <n v="1"/>
    <n v="1274"/>
    <n v="0.55000000000000004"/>
    <x v="0"/>
    <n v="102"/>
    <n v="111"/>
  </r>
  <r>
    <x v="0"/>
    <n v="2"/>
    <n v="1732"/>
    <n v="0.76"/>
    <x v="1"/>
    <n v="131"/>
    <n v="110"/>
  </r>
  <r>
    <x v="0"/>
    <n v="3"/>
    <n v="1904"/>
    <n v="0.83"/>
    <x v="2"/>
    <n v="146"/>
    <n v="108"/>
  </r>
  <r>
    <x v="0"/>
    <n v="4"/>
    <n v="1758"/>
    <n v="0.77"/>
    <x v="3"/>
    <n v="139"/>
    <n v="115"/>
  </r>
  <r>
    <x v="1"/>
    <n v="1"/>
    <n v="1201"/>
    <n v="0.52"/>
    <x v="4"/>
    <n v="95"/>
    <n v="111"/>
  </r>
  <r>
    <x v="1"/>
    <n v="2"/>
    <n v="1738"/>
    <n v="0.76"/>
    <x v="5"/>
    <n v="120"/>
    <n v="104"/>
  </r>
  <r>
    <x v="1"/>
    <n v="3"/>
    <n v="3149"/>
    <n v="1.38"/>
    <x v="6"/>
    <n v="248"/>
    <n v="115"/>
  </r>
  <r>
    <x v="1"/>
    <n v="4"/>
    <n v="1327"/>
    <n v="0.63"/>
    <x v="7"/>
    <n v="76"/>
    <n v="91"/>
  </r>
  <r>
    <x v="2"/>
    <n v="1"/>
    <n v="5737"/>
    <n v="2.5"/>
    <x v="8"/>
    <n v="427"/>
    <n v="110"/>
  </r>
  <r>
    <x v="3"/>
    <n v="1"/>
    <n v="3215"/>
    <n v="1.41"/>
    <x v="9"/>
    <n v="264"/>
    <n v="121"/>
  </r>
  <r>
    <x v="4"/>
    <n v="1"/>
    <n v="1695"/>
    <n v="0.75"/>
    <x v="10"/>
    <n v="128"/>
    <n v="109"/>
  </r>
  <r>
    <x v="4"/>
    <n v="2"/>
    <n v="1425"/>
    <n v="0.62"/>
    <x v="11"/>
    <n v="108"/>
    <n v="115"/>
  </r>
  <r>
    <x v="4"/>
    <n v="3"/>
    <n v="2595"/>
    <n v="1.1299999999999999"/>
    <x v="12"/>
    <n v="209"/>
    <n v="115"/>
  </r>
  <r>
    <x v="4"/>
    <n v="4"/>
    <n v="1435"/>
    <n v="0.63"/>
    <x v="13"/>
    <n v="114"/>
    <n v="119"/>
  </r>
  <r>
    <x v="5"/>
    <n v="1"/>
    <n v="1228"/>
    <n v="0.53"/>
    <x v="14"/>
    <n v="89"/>
    <n v="109"/>
  </r>
  <r>
    <x v="5"/>
    <n v="2"/>
    <n v="1424"/>
    <n v="0.62"/>
    <x v="15"/>
    <n v="112"/>
    <n v="106"/>
  </r>
  <r>
    <x v="5"/>
    <n v="3"/>
    <n v="2632"/>
    <n v="1.1499999999999999"/>
    <x v="16"/>
    <n v="211"/>
    <n v="112"/>
  </r>
  <r>
    <x v="5"/>
    <n v="4"/>
    <n v="1469"/>
    <n v="0.65"/>
    <x v="17"/>
    <n v="114"/>
    <n v="118"/>
  </r>
  <r>
    <x v="6"/>
    <n v="1"/>
    <n v="1415"/>
    <n v="0.62"/>
    <x v="18"/>
    <n v="111"/>
    <n v="109"/>
  </r>
  <r>
    <x v="6"/>
    <n v="2"/>
    <n v="1622"/>
    <n v="0.71"/>
    <x v="19"/>
    <n v="113"/>
    <n v="106"/>
  </r>
  <r>
    <x v="6"/>
    <n v="3"/>
    <n v="3091"/>
    <n v="1.35"/>
    <x v="20"/>
    <n v="235"/>
    <n v="110"/>
  </r>
  <r>
    <x v="6"/>
    <n v="4"/>
    <n v="1640"/>
    <n v="0.72"/>
    <x v="21"/>
    <n v="127"/>
    <n v="115"/>
  </r>
  <r>
    <x v="7"/>
    <n v="1"/>
    <n v="2061"/>
    <n v="0.9"/>
    <x v="22"/>
    <n v="154"/>
    <n v="105"/>
  </r>
  <r>
    <x v="7"/>
    <n v="2"/>
    <n v="1722"/>
    <n v="0.76"/>
    <x v="23"/>
    <n v="124"/>
    <n v="104"/>
  </r>
  <r>
    <x v="7"/>
    <n v="3"/>
    <n v="4169"/>
    <n v="1.83"/>
    <x v="24"/>
    <n v="320"/>
    <n v="112"/>
  </r>
  <r>
    <x v="7"/>
    <n v="4"/>
    <n v="1626"/>
    <n v="0.71"/>
    <x v="25"/>
    <n v="132"/>
    <n v="114"/>
  </r>
  <r>
    <x v="7"/>
    <n v="5"/>
    <n v="3048"/>
    <n v="1.17"/>
    <x v="26"/>
    <n v="429"/>
    <n v="98"/>
  </r>
  <r>
    <x v="8"/>
    <n v="1"/>
    <n v="1816"/>
    <n v="0.8"/>
    <x v="27"/>
    <n v="144"/>
    <n v="109"/>
  </r>
  <r>
    <x v="8"/>
    <n v="2"/>
    <n v="1661"/>
    <n v="0.73"/>
    <x v="28"/>
    <n v="129"/>
    <n v="108"/>
  </r>
  <r>
    <x v="8"/>
    <n v="3"/>
    <n v="2656"/>
    <n v="1.1599999999999999"/>
    <x v="29"/>
    <n v="200"/>
    <n v="108"/>
  </r>
  <r>
    <x v="8"/>
    <n v="4"/>
    <n v="1663"/>
    <n v="0.73"/>
    <x v="30"/>
    <n v="129"/>
    <n v="110"/>
  </r>
  <r>
    <x v="9"/>
    <n v="1"/>
    <n v="517"/>
    <n v="2.2599999999999998"/>
    <x v="31"/>
    <n v="395"/>
    <n v="111"/>
  </r>
  <r>
    <x v="10"/>
    <n v="1"/>
    <n v="5397"/>
    <n v="2.4"/>
    <x v="32"/>
    <n v="411"/>
    <n v="110"/>
  </r>
  <r>
    <x v="11"/>
    <n v="1"/>
    <n v="1812"/>
    <n v="0.79"/>
    <x v="33"/>
    <n v="132"/>
    <n v="104"/>
  </r>
  <r>
    <x v="11"/>
    <n v="2"/>
    <n v="1607"/>
    <n v="0.7"/>
    <x v="34"/>
    <n v="122"/>
    <n v="108"/>
  </r>
  <r>
    <x v="11"/>
    <n v="3"/>
    <n v="2894"/>
    <n v="1.26"/>
    <x v="35"/>
    <n v="238"/>
    <n v="114"/>
  </r>
  <r>
    <x v="11"/>
    <n v="4"/>
    <n v="1449"/>
    <n v="0.63"/>
    <x v="36"/>
    <n v="132"/>
    <n v="98"/>
  </r>
  <r>
    <x v="12"/>
    <n v="1"/>
    <n v="1991"/>
    <n v="0.87"/>
    <x v="37"/>
    <n v="150"/>
    <n v="106"/>
  </r>
  <r>
    <x v="12"/>
    <n v="2"/>
    <n v="1616"/>
    <n v="0.71"/>
    <x v="38"/>
    <n v="119"/>
    <n v="107"/>
  </r>
  <r>
    <x v="12"/>
    <n v="3"/>
    <n v="2622"/>
    <n v="1.1499999999999999"/>
    <x v="39"/>
    <n v="203"/>
    <n v="107"/>
  </r>
  <r>
    <x v="12"/>
    <n v="4"/>
    <n v="1475"/>
    <n v="0.65"/>
    <x v="40"/>
    <n v="112"/>
    <n v="113"/>
  </r>
  <r>
    <x v="13"/>
    <n v="1"/>
    <n v="2301"/>
    <n v="1.01"/>
    <x v="41"/>
    <n v="173"/>
    <n v="106"/>
  </r>
  <r>
    <x v="13"/>
    <n v="2"/>
    <n v="1673"/>
    <n v="0.74"/>
    <x v="42"/>
    <n v="121"/>
    <n v="103"/>
  </r>
  <r>
    <x v="13"/>
    <n v="3"/>
    <n v="2692"/>
    <n v="1.17"/>
    <x v="43"/>
    <n v="221"/>
    <n v="112"/>
  </r>
  <r>
    <x v="13"/>
    <n v="4"/>
    <n v="1683"/>
    <n v="0.74"/>
    <x v="44"/>
    <n v="129"/>
    <n v="112"/>
  </r>
  <r>
    <x v="14"/>
    <n v="1"/>
    <n v="1902"/>
    <n v="0.84"/>
    <x v="45"/>
    <n v="145"/>
    <n v="107"/>
  </r>
  <r>
    <x v="14"/>
    <n v="2"/>
    <n v="1636"/>
    <n v="0.72"/>
    <x v="46"/>
    <n v="115"/>
    <n v="104"/>
  </r>
  <r>
    <x v="14"/>
    <n v="3"/>
    <n v="2659"/>
    <n v="1.1599999999999999"/>
    <x v="47"/>
    <n v="211"/>
    <n v="108"/>
  </r>
  <r>
    <x v="14"/>
    <n v="4"/>
    <n v="1454"/>
    <n v="0.64"/>
    <x v="48"/>
    <n v="116"/>
    <n v="112"/>
  </r>
  <r>
    <x v="15"/>
    <n v="1"/>
    <n v="5086"/>
    <n v="2.25"/>
    <x v="49"/>
    <n v="388"/>
    <n v="113"/>
  </r>
  <r>
    <x v="16"/>
    <n v="1"/>
    <n v="2968"/>
    <n v="1.3"/>
    <x v="35"/>
    <n v="214"/>
    <n v="100"/>
  </r>
  <r>
    <x v="16"/>
    <n v="2"/>
    <n v="5210"/>
    <n v="2.2799999999999998"/>
    <x v="50"/>
    <n v="378"/>
    <n v="105"/>
  </r>
  <r>
    <x v="17"/>
    <n v="1"/>
    <n v="1811"/>
    <n v="0.8"/>
    <x v="51"/>
    <n v="132"/>
    <n v="106"/>
  </r>
  <r>
    <x v="17"/>
    <n v="2"/>
    <n v="1600"/>
    <n v="0.7"/>
    <x v="52"/>
    <n v="119"/>
    <n v="104"/>
  </r>
  <r>
    <x v="17"/>
    <n v="3"/>
    <n v="2617"/>
    <n v="1.1499999999999999"/>
    <x v="12"/>
    <n v="205"/>
    <n v="106"/>
  </r>
  <r>
    <x v="17"/>
    <n v="4"/>
    <n v="1423"/>
    <n v="0.62"/>
    <x v="53"/>
    <n v="114"/>
    <n v="109"/>
  </r>
  <r>
    <x v="18"/>
    <n v="1"/>
    <n v="2392"/>
    <n v="1.04"/>
    <x v="54"/>
    <n v="183"/>
    <n v="105"/>
  </r>
  <r>
    <x v="18"/>
    <n v="2"/>
    <n v="1617"/>
    <n v="0.71"/>
    <x v="28"/>
    <n v="119"/>
    <n v="103"/>
  </r>
  <r>
    <x v="18"/>
    <n v="3"/>
    <n v="2638"/>
    <n v="1.1599999999999999"/>
    <x v="55"/>
    <n v="208"/>
    <n v="104"/>
  </r>
  <r>
    <x v="18"/>
    <n v="4"/>
    <n v="1421"/>
    <n v="0.63"/>
    <x v="18"/>
    <n v="109"/>
    <n v="107"/>
  </r>
  <r>
    <x v="19"/>
    <n v="1"/>
    <n v="2846"/>
    <n v="1.25"/>
    <x v="56"/>
    <n v="212"/>
    <n v="104"/>
  </r>
  <r>
    <x v="19"/>
    <n v="2"/>
    <n v="1630"/>
    <n v="0.71"/>
    <x v="57"/>
    <n v="123"/>
    <n v="107"/>
  </r>
  <r>
    <x v="19"/>
    <n v="3"/>
    <n v="2624"/>
    <n v="1.1499999999999999"/>
    <x v="58"/>
    <n v="217"/>
    <n v="109"/>
  </r>
  <r>
    <x v="19"/>
    <n v="4"/>
    <n v="1654"/>
    <n v="0.73"/>
    <x v="21"/>
    <n v="126"/>
    <n v="109"/>
  </r>
  <r>
    <x v="20"/>
    <n v="1"/>
    <n v="2976"/>
    <n v="1.3"/>
    <x v="59"/>
    <n v="227"/>
    <n v="107"/>
  </r>
  <r>
    <x v="20"/>
    <n v="2"/>
    <n v="1631"/>
    <n v="0.71"/>
    <x v="60"/>
    <n v="124"/>
    <n v="108"/>
  </r>
  <r>
    <x v="20"/>
    <n v="3"/>
    <n v="3079"/>
    <n v="1.34"/>
    <x v="61"/>
    <n v="234"/>
    <n v="106"/>
  </r>
  <r>
    <x v="20"/>
    <n v="4"/>
    <n v="1435"/>
    <n v="0.63"/>
    <x v="62"/>
    <n v="110"/>
    <n v="104"/>
  </r>
  <r>
    <x v="21"/>
    <n v="1"/>
    <n v="1877"/>
    <n v="0.82"/>
    <x v="63"/>
    <n v="139"/>
    <n v="104"/>
  </r>
  <r>
    <x v="21"/>
    <n v="2"/>
    <n v="1628"/>
    <n v="0.71"/>
    <x v="64"/>
    <n v="116"/>
    <n v="102"/>
  </r>
  <r>
    <x v="21"/>
    <n v="3"/>
    <n v="2644"/>
    <n v="1.1499999999999999"/>
    <x v="65"/>
    <n v="201"/>
    <n v="106"/>
  </r>
  <r>
    <x v="21"/>
    <n v="4"/>
    <n v="1609"/>
    <n v="0.7"/>
    <x v="28"/>
    <n v="116"/>
    <n v="105"/>
  </r>
  <r>
    <x v="22"/>
    <n v="1"/>
    <n v="5048"/>
    <n v="2.2200000000000002"/>
    <x v="66"/>
    <n v="378"/>
    <n v="110"/>
  </r>
  <r>
    <x v="22"/>
    <n v="2"/>
    <n v="3108"/>
    <n v="1.36"/>
    <x v="67"/>
    <n v="235"/>
    <n v="107"/>
  </r>
  <r>
    <x v="23"/>
    <n v="1"/>
    <n v="5461"/>
    <n v="2.4"/>
    <x v="68"/>
    <n v="411"/>
    <n v="110"/>
  </r>
  <r>
    <x v="23"/>
    <n v="2"/>
    <n v="5423"/>
    <n v="2.38"/>
    <x v="69"/>
    <n v="418"/>
    <n v="113"/>
  </r>
  <r>
    <x v="24"/>
    <n v="1"/>
    <n v="1855"/>
    <n v="0.81"/>
    <x v="70"/>
    <n v="143"/>
    <n v="106"/>
  </r>
  <r>
    <x v="24"/>
    <n v="2"/>
    <n v="1620"/>
    <n v="0.72"/>
    <x v="71"/>
    <n v="115"/>
    <n v="106"/>
  </r>
  <r>
    <x v="24"/>
    <n v="3"/>
    <n v="2536"/>
    <n v="1.1000000000000001"/>
    <x v="72"/>
    <n v="209"/>
    <n v="112"/>
  </r>
  <r>
    <x v="24"/>
    <n v="4"/>
    <n v="1426"/>
    <n v="0.62"/>
    <x v="13"/>
    <n v="109"/>
    <n v="106"/>
  </r>
  <r>
    <x v="25"/>
    <n v="1"/>
    <n v="2704"/>
    <n v="1.18"/>
    <x v="73"/>
    <n v="211"/>
    <n v="109"/>
  </r>
  <r>
    <x v="25"/>
    <n v="2"/>
    <n v="1792"/>
    <n v="0.78"/>
    <x v="74"/>
    <n v="150"/>
    <n v="116"/>
  </r>
  <r>
    <x v="25"/>
    <n v="3"/>
    <n v="2547"/>
    <n v="1.1200000000000001"/>
    <x v="75"/>
    <n v="207"/>
    <n v="112"/>
  </r>
  <r>
    <x v="25"/>
    <n v="4"/>
    <n v="1406"/>
    <n v="0.61"/>
    <x v="76"/>
    <n v="106"/>
    <n v="107"/>
  </r>
  <r>
    <x v="26"/>
    <n v="1"/>
    <n v="2212"/>
    <n v="0.97"/>
    <x v="77"/>
    <n v="161"/>
    <n v="106"/>
  </r>
  <r>
    <x v="26"/>
    <n v="2"/>
    <n v="1624"/>
    <n v="0.72"/>
    <x v="78"/>
    <n v="119"/>
    <n v="105"/>
  </r>
  <r>
    <x v="26"/>
    <n v="3"/>
    <n v="2514"/>
    <n v="1.1000000000000001"/>
    <x v="79"/>
    <n v="181"/>
    <n v="103"/>
  </r>
  <r>
    <x v="26"/>
    <n v="4"/>
    <n v="1479"/>
    <n v="0.65"/>
    <x v="80"/>
    <n v="106"/>
    <n v="106"/>
  </r>
  <r>
    <x v="27"/>
    <n v="1"/>
    <n v="1849"/>
    <n v="0.81"/>
    <x v="81"/>
    <n v="139"/>
    <n v="105"/>
  </r>
  <r>
    <x v="27"/>
    <n v="2"/>
    <n v="1606"/>
    <n v="0.7"/>
    <x v="82"/>
    <n v="122"/>
    <n v="109"/>
  </r>
  <r>
    <x v="27"/>
    <n v="3"/>
    <n v="4288"/>
    <n v="1.88"/>
    <x v="83"/>
    <n v="349"/>
    <n v="115"/>
  </r>
  <r>
    <x v="27"/>
    <n v="4"/>
    <n v="1431"/>
    <n v="0.63"/>
    <x v="84"/>
    <n v="103"/>
    <n v="1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3C60C5-8D32-457B-B7C4-8490DBCC3A9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4">
  <location ref="I1:L30" firstHeaderRow="0" firstDataRow="1" firstDataCol="1"/>
  <pivotFields count="9">
    <pivotField axis="axisRow" numFmtId="16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umFmtId="1" showAll="0"/>
    <pivotField dataField="1" numFmtId="3" showAll="0"/>
    <pivotField dataField="1" showAll="0"/>
    <pivotField numFmtId="2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dataField="1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 STEPS " fld="2" baseField="0" baseItem="0"/>
    <dataField name="Sum of  MILES " fld="3" baseField="0" baseItem="0"/>
    <dataField name="Average of  BPM " fld="6" subtotal="average" baseField="0" baseItem="0" numFmtId="2"/>
  </dataFields>
  <formats count="2"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3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8FA69-A356-492E-AAF7-FB22C20095ED}">
  <sheetPr codeName="Sheet1"/>
  <dimension ref="A1:P190"/>
  <sheetViews>
    <sheetView tabSelected="1" workbookViewId="0">
      <pane ySplit="1" topLeftCell="A2" activePane="bottomLeft" state="frozen"/>
      <selection pane="bottomLeft" activeCell="F21" sqref="F21"/>
    </sheetView>
  </sheetViews>
  <sheetFormatPr defaultRowHeight="15" x14ac:dyDescent="0.25"/>
  <cols>
    <col min="1" max="1" width="5.28515625" customWidth="1"/>
    <col min="2" max="2" width="12" customWidth="1"/>
    <col min="3" max="3" width="5.5703125" style="35" bestFit="1" customWidth="1"/>
    <col min="4" max="4" width="7.5703125" bestFit="1" customWidth="1"/>
    <col min="5" max="5" width="7.140625" bestFit="1" customWidth="1"/>
    <col min="6" max="6" width="9.85546875" customWidth="1"/>
    <col min="7" max="8" width="6" bestFit="1" customWidth="1"/>
    <col min="9" max="9" width="5.5703125" bestFit="1" customWidth="1"/>
    <col min="10" max="10" width="15.140625" style="42" bestFit="1" customWidth="1"/>
    <col min="11" max="11" width="7.7109375" style="42" bestFit="1" customWidth="1"/>
    <col min="12" max="12" width="5.85546875" style="42" bestFit="1" customWidth="1"/>
    <col min="13" max="13" width="9.85546875" style="42" bestFit="1" customWidth="1"/>
    <col min="14" max="14" width="8.140625" style="42" bestFit="1" customWidth="1"/>
    <col min="15" max="16" width="9.140625" style="42"/>
  </cols>
  <sheetData>
    <row r="1" spans="1:8" ht="20.25" customHeight="1" x14ac:dyDescent="0.25">
      <c r="B1" s="5" t="s">
        <v>0</v>
      </c>
      <c r="C1" s="5" t="s">
        <v>22</v>
      </c>
      <c r="D1" s="5" t="s">
        <v>9</v>
      </c>
      <c r="E1" s="11" t="s">
        <v>10</v>
      </c>
      <c r="F1" s="5" t="s">
        <v>11</v>
      </c>
      <c r="G1" s="11" t="s">
        <v>12</v>
      </c>
      <c r="H1" s="9" t="s">
        <v>13</v>
      </c>
    </row>
    <row r="2" spans="1:8" x14ac:dyDescent="0.25">
      <c r="A2" t="s">
        <v>17</v>
      </c>
      <c r="B2" s="12">
        <v>44088</v>
      </c>
      <c r="C2" s="33">
        <v>1</v>
      </c>
      <c r="D2" s="3">
        <v>307</v>
      </c>
      <c r="E2" s="2">
        <v>0.14000000000000001</v>
      </c>
      <c r="F2" s="4">
        <v>2.673611111111111E-3</v>
      </c>
      <c r="G2" s="2">
        <v>25</v>
      </c>
      <c r="H2" s="2">
        <v>99</v>
      </c>
    </row>
    <row r="3" spans="1:8" x14ac:dyDescent="0.25">
      <c r="B3" s="12">
        <v>44091</v>
      </c>
      <c r="C3" s="33">
        <v>1</v>
      </c>
      <c r="D3" s="3">
        <v>584</v>
      </c>
      <c r="E3" s="2">
        <v>0.26</v>
      </c>
      <c r="F3" s="4">
        <v>4.386574074074074E-3</v>
      </c>
      <c r="G3" s="2">
        <v>48</v>
      </c>
      <c r="H3" s="2">
        <v>106</v>
      </c>
    </row>
    <row r="4" spans="1:8" x14ac:dyDescent="0.25">
      <c r="B4" s="12">
        <v>44091</v>
      </c>
      <c r="C4" s="33">
        <v>2</v>
      </c>
      <c r="D4" s="3">
        <v>829</v>
      </c>
      <c r="E4" s="2">
        <v>0.36</v>
      </c>
      <c r="F4" s="4">
        <v>6.0185185185185177E-3</v>
      </c>
      <c r="G4" s="2">
        <v>76</v>
      </c>
      <c r="H4" s="2">
        <v>111</v>
      </c>
    </row>
    <row r="5" spans="1:8" x14ac:dyDescent="0.25">
      <c r="B5" s="12">
        <v>44091</v>
      </c>
      <c r="C5" s="33">
        <v>3</v>
      </c>
      <c r="D5" s="3">
        <v>1153</v>
      </c>
      <c r="E5" s="2">
        <v>0.51</v>
      </c>
      <c r="F5" s="4">
        <v>8.2986111111111108E-3</v>
      </c>
      <c r="G5" s="2">
        <v>97</v>
      </c>
      <c r="H5" s="2">
        <v>109</v>
      </c>
    </row>
    <row r="6" spans="1:8" x14ac:dyDescent="0.25">
      <c r="B6" s="12">
        <v>44092</v>
      </c>
      <c r="C6" s="33">
        <v>1</v>
      </c>
      <c r="D6" s="3">
        <v>1808</v>
      </c>
      <c r="E6" s="2">
        <v>0.8</v>
      </c>
      <c r="F6" s="4">
        <v>1.2326388888888888E-2</v>
      </c>
      <c r="G6" s="2">
        <v>152</v>
      </c>
      <c r="H6" s="2">
        <v>111</v>
      </c>
    </row>
    <row r="7" spans="1:8" x14ac:dyDescent="0.25">
      <c r="B7" s="12">
        <v>44092</v>
      </c>
      <c r="C7" s="33">
        <v>2</v>
      </c>
      <c r="D7" s="3">
        <v>1058</v>
      </c>
      <c r="E7" s="2">
        <v>0.47</v>
      </c>
      <c r="F7" s="4">
        <v>7.743055555555556E-3</v>
      </c>
      <c r="G7" s="2">
        <v>94</v>
      </c>
      <c r="H7" s="2">
        <v>115</v>
      </c>
    </row>
    <row r="8" spans="1:8" x14ac:dyDescent="0.25">
      <c r="B8" s="12">
        <v>44092</v>
      </c>
      <c r="C8" s="33">
        <v>3</v>
      </c>
      <c r="D8" s="3">
        <v>1833</v>
      </c>
      <c r="E8" s="2">
        <v>0.81</v>
      </c>
      <c r="F8" s="4">
        <v>1.2349537037037039E-2</v>
      </c>
      <c r="G8" s="2">
        <v>151</v>
      </c>
      <c r="H8" s="2">
        <v>116</v>
      </c>
    </row>
    <row r="9" spans="1:8" x14ac:dyDescent="0.25">
      <c r="B9" s="12">
        <v>44093</v>
      </c>
      <c r="C9" s="33">
        <v>1</v>
      </c>
      <c r="D9" s="3">
        <v>3057</v>
      </c>
      <c r="E9" s="2">
        <v>1.34</v>
      </c>
      <c r="F9" s="4">
        <v>2.1412037037037035E-2</v>
      </c>
      <c r="G9" s="2">
        <v>250</v>
      </c>
      <c r="H9" s="2">
        <v>112</v>
      </c>
    </row>
    <row r="10" spans="1:8" x14ac:dyDescent="0.25">
      <c r="B10" s="12">
        <v>44094</v>
      </c>
      <c r="C10" s="33">
        <v>1</v>
      </c>
      <c r="D10" s="3">
        <v>4380</v>
      </c>
      <c r="E10" s="2">
        <v>1.93</v>
      </c>
      <c r="F10" s="4">
        <v>2.8888888888888891E-2</v>
      </c>
      <c r="G10" s="2">
        <v>360</v>
      </c>
      <c r="H10" s="2">
        <v>115</v>
      </c>
    </row>
    <row r="11" spans="1:8" x14ac:dyDescent="0.25">
      <c r="B11" s="12">
        <v>44094</v>
      </c>
      <c r="C11" s="33">
        <v>2</v>
      </c>
      <c r="D11" s="3">
        <v>4746</v>
      </c>
      <c r="E11" s="2">
        <v>2.36</v>
      </c>
      <c r="F11" s="4">
        <v>3.107638888888889E-2</v>
      </c>
      <c r="G11" s="2">
        <v>418</v>
      </c>
      <c r="H11" s="2">
        <v>121</v>
      </c>
    </row>
    <row r="12" spans="1:8" x14ac:dyDescent="0.25">
      <c r="B12" s="12">
        <v>44095</v>
      </c>
      <c r="C12" s="33">
        <v>1</v>
      </c>
      <c r="D12" s="3">
        <v>984</v>
      </c>
      <c r="E12" s="2">
        <v>0.43</v>
      </c>
      <c r="F12" s="4">
        <v>6.6550925925925935E-3</v>
      </c>
      <c r="G12" s="2">
        <v>81</v>
      </c>
      <c r="H12" s="2">
        <v>122</v>
      </c>
    </row>
    <row r="13" spans="1:8" x14ac:dyDescent="0.25">
      <c r="B13" s="12">
        <v>44095</v>
      </c>
      <c r="C13" s="33">
        <v>2</v>
      </c>
      <c r="D13" s="3">
        <v>1696</v>
      </c>
      <c r="E13" s="2">
        <v>0.74</v>
      </c>
      <c r="F13" s="4">
        <v>1.1863425925925925E-2</v>
      </c>
      <c r="G13" s="2">
        <v>161</v>
      </c>
      <c r="H13" s="10">
        <v>125</v>
      </c>
    </row>
    <row r="14" spans="1:8" x14ac:dyDescent="0.25">
      <c r="B14" s="12">
        <v>44095</v>
      </c>
      <c r="C14" s="33">
        <v>3</v>
      </c>
      <c r="D14" s="3">
        <v>1859</v>
      </c>
      <c r="E14" s="2">
        <v>0.81</v>
      </c>
      <c r="F14" s="4">
        <v>1.300925925925926E-2</v>
      </c>
      <c r="G14" s="2">
        <v>163</v>
      </c>
      <c r="H14" s="10">
        <v>118</v>
      </c>
    </row>
    <row r="15" spans="1:8" x14ac:dyDescent="0.25">
      <c r="B15" s="12">
        <v>44096</v>
      </c>
      <c r="C15" s="33">
        <v>1</v>
      </c>
      <c r="D15" s="3">
        <v>1659</v>
      </c>
      <c r="E15" s="2">
        <v>0.72</v>
      </c>
      <c r="F15" s="4">
        <v>1.1539351851851851E-2</v>
      </c>
      <c r="G15" s="2">
        <v>130</v>
      </c>
      <c r="H15" s="10">
        <v>112</v>
      </c>
    </row>
    <row r="16" spans="1:8" x14ac:dyDescent="0.25">
      <c r="B16" s="12">
        <v>44096</v>
      </c>
      <c r="C16" s="33">
        <v>2</v>
      </c>
      <c r="D16" s="3">
        <v>1245</v>
      </c>
      <c r="E16" s="2">
        <v>0.54</v>
      </c>
      <c r="F16" s="4">
        <v>8.8888888888888889E-3</v>
      </c>
      <c r="G16" s="2">
        <v>111</v>
      </c>
      <c r="H16" s="10">
        <v>117</v>
      </c>
    </row>
    <row r="17" spans="2:9" x14ac:dyDescent="0.25">
      <c r="B17" s="12">
        <v>44096</v>
      </c>
      <c r="C17" s="33">
        <v>3</v>
      </c>
      <c r="D17" s="3">
        <v>1346</v>
      </c>
      <c r="E17" s="2">
        <v>0.59</v>
      </c>
      <c r="F17" s="4">
        <v>9.4907407407407406E-3</v>
      </c>
      <c r="G17" s="2">
        <v>115</v>
      </c>
      <c r="H17" s="10">
        <v>119</v>
      </c>
    </row>
    <row r="18" spans="2:9" x14ac:dyDescent="0.25">
      <c r="B18" s="12">
        <v>44097</v>
      </c>
      <c r="C18" s="33">
        <v>1</v>
      </c>
      <c r="D18" s="3">
        <v>1099</v>
      </c>
      <c r="E18" s="2">
        <v>0.48</v>
      </c>
      <c r="F18" s="4">
        <v>7.789351851851852E-3</v>
      </c>
      <c r="G18" s="2">
        <v>88</v>
      </c>
      <c r="H18" s="10">
        <v>114</v>
      </c>
    </row>
    <row r="19" spans="2:9" x14ac:dyDescent="0.25">
      <c r="B19" s="12">
        <v>44097</v>
      </c>
      <c r="C19" s="33">
        <v>2</v>
      </c>
      <c r="D19" s="3">
        <v>2065</v>
      </c>
      <c r="E19" s="2">
        <v>0.9</v>
      </c>
      <c r="F19" s="4">
        <v>1.5208333333333332E-2</v>
      </c>
      <c r="G19" s="2">
        <v>185</v>
      </c>
      <c r="H19" s="10">
        <v>120</v>
      </c>
    </row>
    <row r="20" spans="2:9" x14ac:dyDescent="0.25">
      <c r="B20" s="12">
        <v>44097</v>
      </c>
      <c r="C20" s="33">
        <v>3</v>
      </c>
      <c r="D20" s="3">
        <v>1072</v>
      </c>
      <c r="E20" s="2">
        <v>0.49</v>
      </c>
      <c r="F20" s="4">
        <v>8.1481481481481474E-3</v>
      </c>
      <c r="G20" s="2">
        <v>88</v>
      </c>
      <c r="H20" s="10">
        <v>121</v>
      </c>
    </row>
    <row r="21" spans="2:9" x14ac:dyDescent="0.25">
      <c r="B21" s="12">
        <v>44098</v>
      </c>
      <c r="C21" s="33">
        <v>1</v>
      </c>
      <c r="D21" s="3">
        <v>1384</v>
      </c>
      <c r="E21" s="2">
        <v>0.61</v>
      </c>
      <c r="F21" s="4">
        <v>9.9189814814814817E-3</v>
      </c>
      <c r="G21" s="2">
        <v>107</v>
      </c>
      <c r="H21" s="10">
        <v>109</v>
      </c>
    </row>
    <row r="22" spans="2:9" x14ac:dyDescent="0.25">
      <c r="B22" s="12">
        <v>44098</v>
      </c>
      <c r="C22" s="33">
        <v>2</v>
      </c>
      <c r="D22" s="3">
        <v>1344</v>
      </c>
      <c r="E22" s="2">
        <v>0.59</v>
      </c>
      <c r="F22" s="4">
        <v>9.6643518518518511E-3</v>
      </c>
      <c r="G22" s="2">
        <v>110</v>
      </c>
      <c r="H22" s="10">
        <v>113</v>
      </c>
    </row>
    <row r="23" spans="2:9" x14ac:dyDescent="0.25">
      <c r="B23" s="12">
        <v>44099</v>
      </c>
      <c r="C23" s="33">
        <v>1</v>
      </c>
      <c r="D23" s="3">
        <v>1660</v>
      </c>
      <c r="E23" s="2">
        <v>0.73</v>
      </c>
      <c r="F23" s="4">
        <v>1.1631944444444445E-2</v>
      </c>
      <c r="G23" s="2">
        <v>133</v>
      </c>
      <c r="H23" s="10">
        <v>131</v>
      </c>
    </row>
    <row r="24" spans="2:9" x14ac:dyDescent="0.25">
      <c r="B24" s="12">
        <v>44099</v>
      </c>
      <c r="C24" s="33">
        <v>2</v>
      </c>
      <c r="D24" s="3">
        <v>1061</v>
      </c>
      <c r="E24" s="2">
        <v>0.46</v>
      </c>
      <c r="F24" s="4">
        <v>7.6851851851851847E-3</v>
      </c>
      <c r="G24" s="2">
        <v>88</v>
      </c>
      <c r="H24" s="10">
        <v>116</v>
      </c>
    </row>
    <row r="25" spans="2:9" x14ac:dyDescent="0.25">
      <c r="B25" s="12">
        <v>44099</v>
      </c>
      <c r="C25" s="33">
        <v>3</v>
      </c>
      <c r="D25" s="3">
        <v>1509</v>
      </c>
      <c r="E25" s="2">
        <v>0.66</v>
      </c>
      <c r="F25" s="4">
        <v>1.0497685185185186E-2</v>
      </c>
      <c r="G25" s="2">
        <v>114</v>
      </c>
      <c r="H25" s="10">
        <v>110</v>
      </c>
    </row>
    <row r="26" spans="2:9" x14ac:dyDescent="0.25">
      <c r="B26" s="12">
        <v>44100</v>
      </c>
      <c r="C26" s="33">
        <v>1</v>
      </c>
      <c r="D26" s="3">
        <v>2191</v>
      </c>
      <c r="E26" s="2"/>
      <c r="F26" s="4">
        <v>2.4305555555555556E-2</v>
      </c>
      <c r="G26" s="2">
        <v>223</v>
      </c>
      <c r="H26" s="10">
        <v>107</v>
      </c>
      <c r="I26" t="s">
        <v>14</v>
      </c>
    </row>
    <row r="27" spans="2:9" x14ac:dyDescent="0.25">
      <c r="B27" s="12">
        <v>44100</v>
      </c>
      <c r="C27" s="33">
        <v>2</v>
      </c>
      <c r="D27" s="3">
        <v>2052</v>
      </c>
      <c r="E27" s="2">
        <v>0.9</v>
      </c>
      <c r="F27" s="4">
        <v>1.4456018518518519E-2</v>
      </c>
      <c r="G27" s="2">
        <v>157</v>
      </c>
      <c r="H27" s="10">
        <v>108</v>
      </c>
    </row>
    <row r="28" spans="2:9" x14ac:dyDescent="0.25">
      <c r="B28" s="12">
        <v>44101</v>
      </c>
      <c r="C28" s="33">
        <v>1</v>
      </c>
      <c r="D28" s="3">
        <v>3349</v>
      </c>
      <c r="E28" s="2">
        <v>1.47</v>
      </c>
      <c r="F28" s="4">
        <v>2.2453703703703708E-2</v>
      </c>
      <c r="G28" s="2">
        <v>287</v>
      </c>
      <c r="H28" s="10">
        <v>122</v>
      </c>
    </row>
    <row r="29" spans="2:9" x14ac:dyDescent="0.25">
      <c r="B29" s="12">
        <v>44102</v>
      </c>
      <c r="C29" s="33">
        <v>1</v>
      </c>
      <c r="D29" s="3">
        <v>1344</v>
      </c>
      <c r="E29" s="2">
        <v>0.59</v>
      </c>
      <c r="F29" s="4">
        <v>9.6527777777777775E-3</v>
      </c>
      <c r="G29" s="2">
        <v>98</v>
      </c>
      <c r="H29" s="10">
        <v>113</v>
      </c>
    </row>
    <row r="30" spans="2:9" x14ac:dyDescent="0.25">
      <c r="B30" s="12">
        <v>44102</v>
      </c>
      <c r="C30" s="33">
        <v>2</v>
      </c>
      <c r="D30" s="3">
        <v>1322</v>
      </c>
      <c r="E30" s="2">
        <v>0.57999999999999996</v>
      </c>
      <c r="F30" s="4">
        <v>9.525462962962963E-3</v>
      </c>
      <c r="G30" s="2">
        <v>113</v>
      </c>
      <c r="H30" s="10">
        <v>120</v>
      </c>
    </row>
    <row r="31" spans="2:9" x14ac:dyDescent="0.25">
      <c r="B31" s="12">
        <v>44102</v>
      </c>
      <c r="C31" s="33">
        <v>3</v>
      </c>
      <c r="D31" s="3">
        <v>1139</v>
      </c>
      <c r="E31" s="2">
        <v>0.5</v>
      </c>
      <c r="F31" s="4">
        <v>8.6226851851851846E-3</v>
      </c>
      <c r="G31" s="2">
        <v>99</v>
      </c>
      <c r="H31" s="10">
        <v>117</v>
      </c>
    </row>
    <row r="32" spans="2:9" x14ac:dyDescent="0.25">
      <c r="B32" s="12">
        <v>44103</v>
      </c>
      <c r="C32" s="33">
        <v>1</v>
      </c>
      <c r="D32" s="3">
        <v>1368</v>
      </c>
      <c r="E32" s="2">
        <v>0.6</v>
      </c>
      <c r="F32" s="4">
        <v>1.0011574074074074E-2</v>
      </c>
      <c r="G32" s="2">
        <v>97</v>
      </c>
      <c r="H32" s="10">
        <v>100</v>
      </c>
    </row>
    <row r="33" spans="2:9" x14ac:dyDescent="0.25">
      <c r="B33" s="12">
        <v>44103</v>
      </c>
      <c r="C33" s="33">
        <v>2</v>
      </c>
      <c r="D33" s="3">
        <v>1269</v>
      </c>
      <c r="E33" s="2">
        <v>0.55000000000000004</v>
      </c>
      <c r="F33" s="4">
        <v>9.7569444444444448E-3</v>
      </c>
      <c r="G33" s="2">
        <v>104</v>
      </c>
      <c r="H33" s="10">
        <v>112</v>
      </c>
    </row>
    <row r="34" spans="2:9" x14ac:dyDescent="0.25">
      <c r="B34" s="12">
        <v>44103</v>
      </c>
      <c r="C34" s="33">
        <v>3</v>
      </c>
      <c r="D34" s="3">
        <v>1198</v>
      </c>
      <c r="E34" s="2">
        <v>0.53</v>
      </c>
      <c r="F34" s="4">
        <v>9.7222222222222224E-3</v>
      </c>
      <c r="G34" s="2">
        <v>100</v>
      </c>
      <c r="H34" s="10">
        <v>114</v>
      </c>
    </row>
    <row r="35" spans="2:9" x14ac:dyDescent="0.25">
      <c r="B35" s="12">
        <v>44104</v>
      </c>
      <c r="C35" s="33">
        <v>1</v>
      </c>
      <c r="D35" s="3">
        <v>1925</v>
      </c>
      <c r="E35" s="2">
        <v>0.84</v>
      </c>
      <c r="F35" s="4">
        <v>1.3668981481481482E-2</v>
      </c>
      <c r="G35" s="2">
        <v>144</v>
      </c>
      <c r="H35" s="10">
        <v>112</v>
      </c>
      <c r="I35" s="14"/>
    </row>
    <row r="36" spans="2:9" x14ac:dyDescent="0.25">
      <c r="B36" s="12">
        <v>44104</v>
      </c>
      <c r="C36" s="33">
        <v>2</v>
      </c>
      <c r="D36" s="3">
        <v>1795</v>
      </c>
      <c r="E36" s="2">
        <v>0.79</v>
      </c>
      <c r="F36" s="4">
        <v>1.3113425925925926E-2</v>
      </c>
      <c r="G36" s="2">
        <v>150</v>
      </c>
      <c r="H36" s="10">
        <v>115</v>
      </c>
      <c r="I36" s="14"/>
    </row>
    <row r="37" spans="2:9" x14ac:dyDescent="0.25">
      <c r="B37" s="12">
        <v>44104</v>
      </c>
      <c r="C37" s="33">
        <v>3</v>
      </c>
      <c r="D37" s="3">
        <v>1273</v>
      </c>
      <c r="E37" s="2">
        <v>0.55000000000000004</v>
      </c>
      <c r="F37" s="4">
        <v>1.2916666666666667E-2</v>
      </c>
      <c r="G37" s="2">
        <v>73</v>
      </c>
      <c r="H37" s="10">
        <v>86</v>
      </c>
      <c r="I37" s="14"/>
    </row>
    <row r="38" spans="2:9" x14ac:dyDescent="0.25">
      <c r="B38" s="12"/>
      <c r="C38" s="34"/>
      <c r="D38" s="3"/>
      <c r="E38" s="2"/>
      <c r="F38" s="4"/>
      <c r="G38" s="2"/>
      <c r="H38" s="2"/>
    </row>
    <row r="39" spans="2:9" x14ac:dyDescent="0.25">
      <c r="B39" s="5" t="s">
        <v>15</v>
      </c>
      <c r="C39" s="5"/>
      <c r="D39" s="5" t="s">
        <v>1</v>
      </c>
      <c r="E39" s="11" t="s">
        <v>7</v>
      </c>
      <c r="F39" s="5" t="s">
        <v>6</v>
      </c>
      <c r="G39" s="11" t="s">
        <v>8</v>
      </c>
      <c r="H39" s="9" t="s">
        <v>2</v>
      </c>
    </row>
    <row r="40" spans="2:9" x14ac:dyDescent="0.25">
      <c r="B40" s="13">
        <f>COUNT(B2:B38)</f>
        <v>36</v>
      </c>
      <c r="D40" s="8">
        <f>SUM(D2:D38)</f>
        <v>59963</v>
      </c>
      <c r="E40" s="6">
        <f>SUM(E2:E38)</f>
        <v>25.630000000000003</v>
      </c>
      <c r="F40" s="7">
        <f>SUM(F2:F38)</f>
        <v>0.43537037037037041</v>
      </c>
      <c r="G40" s="6">
        <f>SUM(G2:G38)</f>
        <v>4990</v>
      </c>
    </row>
    <row r="41" spans="2:9" ht="15.75" thickBot="1" x14ac:dyDescent="0.3">
      <c r="B41" s="13">
        <f>COUNT(_xlfn.UNIQUE(B2:B38))</f>
        <v>15</v>
      </c>
      <c r="C41" s="35" t="s">
        <v>23</v>
      </c>
      <c r="D41" s="8"/>
      <c r="E41" s="6"/>
      <c r="F41" s="7"/>
      <c r="G41" s="6"/>
    </row>
    <row r="42" spans="2:9" x14ac:dyDescent="0.25">
      <c r="B42" s="19"/>
      <c r="C42" s="36" t="s">
        <v>3</v>
      </c>
      <c r="D42" s="20">
        <f t="shared" ref="D42:G42" si="0">AVERAGE(D2:D38)</f>
        <v>1665.6388888888889</v>
      </c>
      <c r="E42" s="21">
        <f t="shared" si="0"/>
        <v>0.73228571428571432</v>
      </c>
      <c r="F42" s="22">
        <f t="shared" si="0"/>
        <v>1.2093621399176956E-2</v>
      </c>
      <c r="G42" s="23">
        <f t="shared" si="0"/>
        <v>138.61111111111111</v>
      </c>
      <c r="H42" s="23">
        <f>AVERAGE(H2:H38)</f>
        <v>113.55555555555556</v>
      </c>
      <c r="I42" s="24" t="s">
        <v>3</v>
      </c>
    </row>
    <row r="43" spans="2:9" x14ac:dyDescent="0.25">
      <c r="B43" s="32" t="s">
        <v>21</v>
      </c>
      <c r="C43" s="32" t="s">
        <v>4</v>
      </c>
      <c r="D43" s="18">
        <f t="shared" ref="D43:G43" si="1">MIN(D2:D38)</f>
        <v>307</v>
      </c>
      <c r="E43" s="16">
        <f t="shared" si="1"/>
        <v>0.14000000000000001</v>
      </c>
      <c r="F43" s="17">
        <f t="shared" si="1"/>
        <v>2.673611111111111E-3</v>
      </c>
      <c r="G43" s="15">
        <f t="shared" si="1"/>
        <v>25</v>
      </c>
      <c r="H43" s="15">
        <f>MIN(H2:H38)</f>
        <v>86</v>
      </c>
      <c r="I43" s="25" t="s">
        <v>4</v>
      </c>
    </row>
    <row r="44" spans="2:9" ht="15.75" thickBot="1" x14ac:dyDescent="0.3">
      <c r="B44" s="26"/>
      <c r="C44" s="37" t="s">
        <v>5</v>
      </c>
      <c r="D44" s="27">
        <f t="shared" ref="D44:G44" si="2">MAX(D2:D38)</f>
        <v>4746</v>
      </c>
      <c r="E44" s="28">
        <f t="shared" si="2"/>
        <v>2.36</v>
      </c>
      <c r="F44" s="29">
        <f t="shared" si="2"/>
        <v>3.107638888888889E-2</v>
      </c>
      <c r="G44" s="30">
        <f t="shared" si="2"/>
        <v>418</v>
      </c>
      <c r="H44" s="30">
        <f>MAX(H2:H38)</f>
        <v>131</v>
      </c>
      <c r="I44" s="31" t="s">
        <v>5</v>
      </c>
    </row>
    <row r="45" spans="2:9" x14ac:dyDescent="0.25">
      <c r="F45" s="1"/>
    </row>
    <row r="46" spans="2:9" x14ac:dyDescent="0.25">
      <c r="B46" t="s">
        <v>16</v>
      </c>
      <c r="F46" s="1"/>
    </row>
    <row r="47" spans="2:9" x14ac:dyDescent="0.25">
      <c r="B47" s="5" t="s">
        <v>0</v>
      </c>
      <c r="C47" s="5" t="s">
        <v>22</v>
      </c>
      <c r="D47" s="5" t="s">
        <v>9</v>
      </c>
      <c r="E47" s="11" t="s">
        <v>10</v>
      </c>
      <c r="F47" s="5" t="s">
        <v>11</v>
      </c>
      <c r="G47" s="11" t="s">
        <v>12</v>
      </c>
      <c r="H47" s="9" t="s">
        <v>13</v>
      </c>
    </row>
    <row r="48" spans="2:9" x14ac:dyDescent="0.25">
      <c r="B48" s="12">
        <v>44105</v>
      </c>
      <c r="C48" s="33">
        <v>1</v>
      </c>
      <c r="D48" s="3">
        <v>1274</v>
      </c>
      <c r="E48" s="2">
        <v>0.55000000000000004</v>
      </c>
      <c r="F48" s="4">
        <v>9.0856481481481483E-3</v>
      </c>
      <c r="G48" s="2">
        <v>102</v>
      </c>
      <c r="H48" s="10">
        <v>111</v>
      </c>
      <c r="I48" s="14"/>
    </row>
    <row r="49" spans="2:9" x14ac:dyDescent="0.25">
      <c r="B49" s="12">
        <v>44105</v>
      </c>
      <c r="C49" s="33">
        <v>2</v>
      </c>
      <c r="D49" s="3">
        <v>1732</v>
      </c>
      <c r="E49" s="2">
        <v>0.76</v>
      </c>
      <c r="F49" s="4">
        <v>1.1631944444444445E-2</v>
      </c>
      <c r="G49" s="2">
        <v>131</v>
      </c>
      <c r="H49" s="10">
        <v>110</v>
      </c>
      <c r="I49" s="14"/>
    </row>
    <row r="50" spans="2:9" x14ac:dyDescent="0.25">
      <c r="B50" s="12">
        <v>44105</v>
      </c>
      <c r="C50" s="33">
        <v>3</v>
      </c>
      <c r="D50" s="3">
        <v>1904</v>
      </c>
      <c r="E50" s="2">
        <v>0.83</v>
      </c>
      <c r="F50" s="4">
        <v>1.3090277777777779E-2</v>
      </c>
      <c r="G50" s="2">
        <v>146</v>
      </c>
      <c r="H50" s="10">
        <v>108</v>
      </c>
      <c r="I50" s="14"/>
    </row>
    <row r="51" spans="2:9" x14ac:dyDescent="0.25">
      <c r="B51" s="12">
        <v>44105</v>
      </c>
      <c r="C51" s="33">
        <v>4</v>
      </c>
      <c r="D51" s="3">
        <v>1758</v>
      </c>
      <c r="E51" s="2">
        <v>0.77</v>
      </c>
      <c r="F51" s="4">
        <v>1.2488425925925925E-2</v>
      </c>
      <c r="G51" s="2">
        <v>139</v>
      </c>
      <c r="H51" s="10">
        <v>115</v>
      </c>
      <c r="I51" t="s">
        <v>18</v>
      </c>
    </row>
    <row r="52" spans="2:9" x14ac:dyDescent="0.25">
      <c r="B52" s="12">
        <v>44106</v>
      </c>
      <c r="C52" s="33">
        <v>1</v>
      </c>
      <c r="D52" s="3">
        <v>1201</v>
      </c>
      <c r="E52" s="2">
        <v>0.52</v>
      </c>
      <c r="F52" s="4">
        <v>8.2291666666666659E-3</v>
      </c>
      <c r="G52" s="2">
        <v>95</v>
      </c>
      <c r="H52" s="10">
        <v>111</v>
      </c>
    </row>
    <row r="53" spans="2:9" x14ac:dyDescent="0.25">
      <c r="B53" s="12">
        <v>44106</v>
      </c>
      <c r="C53" s="33">
        <v>2</v>
      </c>
      <c r="D53" s="3">
        <v>1738</v>
      </c>
      <c r="E53" s="2">
        <v>0.76</v>
      </c>
      <c r="F53" s="4">
        <v>1.1759259259259259E-2</v>
      </c>
      <c r="G53" s="2">
        <v>120</v>
      </c>
      <c r="H53" s="10">
        <v>104</v>
      </c>
    </row>
    <row r="54" spans="2:9" x14ac:dyDescent="0.25">
      <c r="B54" s="12">
        <v>44106</v>
      </c>
      <c r="C54" s="33">
        <v>3</v>
      </c>
      <c r="D54" s="3">
        <v>3149</v>
      </c>
      <c r="E54" s="2">
        <v>1.38</v>
      </c>
      <c r="F54" s="4">
        <v>2.1701388888888892E-2</v>
      </c>
      <c r="G54" s="2">
        <v>248</v>
      </c>
      <c r="H54" s="10">
        <v>115</v>
      </c>
    </row>
    <row r="55" spans="2:9" x14ac:dyDescent="0.25">
      <c r="B55" s="12">
        <v>44106</v>
      </c>
      <c r="C55" s="33">
        <v>4</v>
      </c>
      <c r="D55" s="3">
        <v>1327</v>
      </c>
      <c r="E55" s="2">
        <v>0.63</v>
      </c>
      <c r="F55" s="4">
        <v>9.8032407407407408E-3</v>
      </c>
      <c r="G55" s="2">
        <v>76</v>
      </c>
      <c r="H55" s="10">
        <v>91</v>
      </c>
    </row>
    <row r="56" spans="2:9" x14ac:dyDescent="0.25">
      <c r="B56" s="12">
        <v>44107</v>
      </c>
      <c r="C56" s="33">
        <v>1</v>
      </c>
      <c r="D56" s="3">
        <v>5737</v>
      </c>
      <c r="E56" s="2">
        <v>2.5</v>
      </c>
      <c r="F56" s="4">
        <v>3.7199074074074072E-2</v>
      </c>
      <c r="G56" s="2">
        <v>427</v>
      </c>
      <c r="H56" s="10">
        <v>110</v>
      </c>
    </row>
    <row r="57" spans="2:9" x14ac:dyDescent="0.25">
      <c r="B57" s="12">
        <v>44108</v>
      </c>
      <c r="C57" s="33">
        <v>1</v>
      </c>
      <c r="D57" s="3">
        <v>3215</v>
      </c>
      <c r="E57" s="2">
        <v>1.41</v>
      </c>
      <c r="F57" s="4">
        <v>2.1319444444444443E-2</v>
      </c>
      <c r="G57" s="2">
        <v>264</v>
      </c>
      <c r="H57" s="10">
        <v>121</v>
      </c>
    </row>
    <row r="58" spans="2:9" x14ac:dyDescent="0.25">
      <c r="B58" s="12">
        <v>44109</v>
      </c>
      <c r="C58" s="33">
        <v>1</v>
      </c>
      <c r="D58" s="3">
        <v>1695</v>
      </c>
      <c r="E58" s="2">
        <v>0.75</v>
      </c>
      <c r="F58" s="4">
        <v>1.1666666666666667E-2</v>
      </c>
      <c r="G58" s="2">
        <v>128</v>
      </c>
      <c r="H58" s="10">
        <v>109</v>
      </c>
    </row>
    <row r="59" spans="2:9" x14ac:dyDescent="0.25">
      <c r="B59" s="12">
        <v>44109</v>
      </c>
      <c r="C59" s="33">
        <v>2</v>
      </c>
      <c r="D59" s="3">
        <v>1425</v>
      </c>
      <c r="E59" s="2">
        <v>0.62</v>
      </c>
      <c r="F59" s="4">
        <v>1.0300925925925927E-2</v>
      </c>
      <c r="G59" s="2">
        <v>108</v>
      </c>
      <c r="H59" s="10">
        <v>115</v>
      </c>
    </row>
    <row r="60" spans="2:9" x14ac:dyDescent="0.25">
      <c r="B60" s="12">
        <v>44109</v>
      </c>
      <c r="C60" s="33">
        <v>3</v>
      </c>
      <c r="D60" s="3">
        <v>2595</v>
      </c>
      <c r="E60" s="2">
        <v>1.1299999999999999</v>
      </c>
      <c r="F60" s="4">
        <v>1.8819444444444448E-2</v>
      </c>
      <c r="G60" s="2">
        <v>209</v>
      </c>
      <c r="H60" s="10">
        <v>115</v>
      </c>
    </row>
    <row r="61" spans="2:9" x14ac:dyDescent="0.25">
      <c r="B61" s="12">
        <v>44109</v>
      </c>
      <c r="C61" s="33">
        <v>4</v>
      </c>
      <c r="D61" s="3">
        <v>1435</v>
      </c>
      <c r="E61" s="2">
        <v>0.63</v>
      </c>
      <c r="F61" s="4">
        <v>1.0416666666666666E-2</v>
      </c>
      <c r="G61" s="2">
        <v>114</v>
      </c>
      <c r="H61" s="10">
        <v>119</v>
      </c>
    </row>
    <row r="62" spans="2:9" x14ac:dyDescent="0.25">
      <c r="B62" s="12">
        <v>44110</v>
      </c>
      <c r="C62" s="33">
        <v>1</v>
      </c>
      <c r="D62" s="3">
        <v>1228</v>
      </c>
      <c r="E62" s="2">
        <v>0.53</v>
      </c>
      <c r="F62" s="4">
        <v>8.9236111111111113E-3</v>
      </c>
      <c r="G62" s="2">
        <v>89</v>
      </c>
      <c r="H62" s="10">
        <v>109</v>
      </c>
    </row>
    <row r="63" spans="2:9" x14ac:dyDescent="0.25">
      <c r="B63" s="12">
        <v>44110</v>
      </c>
      <c r="C63" s="33">
        <v>2</v>
      </c>
      <c r="D63" s="3">
        <v>1424</v>
      </c>
      <c r="E63" s="2">
        <v>0.62</v>
      </c>
      <c r="F63" s="4">
        <v>1.0833333333333334E-2</v>
      </c>
      <c r="G63" s="2">
        <v>112</v>
      </c>
      <c r="H63" s="10">
        <v>106</v>
      </c>
    </row>
    <row r="64" spans="2:9" x14ac:dyDescent="0.25">
      <c r="B64" s="12">
        <v>44110</v>
      </c>
      <c r="C64" s="33">
        <v>3</v>
      </c>
      <c r="D64" s="3">
        <v>2632</v>
      </c>
      <c r="E64" s="2">
        <v>1.1499999999999999</v>
      </c>
      <c r="F64" s="4">
        <v>1.9375E-2</v>
      </c>
      <c r="G64" s="2">
        <v>211</v>
      </c>
      <c r="H64" s="10">
        <v>112</v>
      </c>
    </row>
    <row r="65" spans="2:8" x14ac:dyDescent="0.25">
      <c r="B65" s="12">
        <v>44110</v>
      </c>
      <c r="C65" s="33">
        <v>4</v>
      </c>
      <c r="D65" s="3">
        <v>1469</v>
      </c>
      <c r="E65" s="2">
        <v>0.65</v>
      </c>
      <c r="F65" s="4">
        <v>1.0567129629629629E-2</v>
      </c>
      <c r="G65" s="2">
        <v>114</v>
      </c>
      <c r="H65" s="10">
        <v>118</v>
      </c>
    </row>
    <row r="66" spans="2:8" x14ac:dyDescent="0.25">
      <c r="B66" s="12">
        <v>44111</v>
      </c>
      <c r="C66" s="33">
        <v>1</v>
      </c>
      <c r="D66" s="3">
        <v>1415</v>
      </c>
      <c r="E66" s="2">
        <v>0.62</v>
      </c>
      <c r="F66" s="4">
        <v>1.0208333333333333E-2</v>
      </c>
      <c r="G66" s="2">
        <v>111</v>
      </c>
      <c r="H66" s="10">
        <v>109</v>
      </c>
    </row>
    <row r="67" spans="2:8" x14ac:dyDescent="0.25">
      <c r="B67" s="12">
        <v>44111</v>
      </c>
      <c r="C67" s="33">
        <v>2</v>
      </c>
      <c r="D67" s="3">
        <v>1622</v>
      </c>
      <c r="E67" s="2">
        <v>0.71</v>
      </c>
      <c r="F67" s="4">
        <v>1.1087962962962964E-2</v>
      </c>
      <c r="G67" s="2">
        <v>113</v>
      </c>
      <c r="H67" s="10">
        <v>106</v>
      </c>
    </row>
    <row r="68" spans="2:8" x14ac:dyDescent="0.25">
      <c r="B68" s="12">
        <v>44111</v>
      </c>
      <c r="C68" s="33">
        <v>3</v>
      </c>
      <c r="D68" s="3">
        <v>3091</v>
      </c>
      <c r="E68" s="2">
        <v>1.35</v>
      </c>
      <c r="F68" s="4">
        <v>2.1759259259259259E-2</v>
      </c>
      <c r="G68" s="2">
        <v>235</v>
      </c>
      <c r="H68" s="10">
        <v>110</v>
      </c>
    </row>
    <row r="69" spans="2:8" x14ac:dyDescent="0.25">
      <c r="B69" s="12">
        <v>44111</v>
      </c>
      <c r="C69" s="33">
        <v>4</v>
      </c>
      <c r="D69" s="3">
        <v>1640</v>
      </c>
      <c r="E69" s="2">
        <v>0.72</v>
      </c>
      <c r="F69" s="4">
        <v>1.1724537037037035E-2</v>
      </c>
      <c r="G69" s="2">
        <v>127</v>
      </c>
      <c r="H69" s="10">
        <v>115</v>
      </c>
    </row>
    <row r="70" spans="2:8" x14ac:dyDescent="0.25">
      <c r="B70" s="12">
        <v>44112</v>
      </c>
      <c r="C70" s="33">
        <v>1</v>
      </c>
      <c r="D70" s="3">
        <v>2061</v>
      </c>
      <c r="E70" s="2">
        <v>0.9</v>
      </c>
      <c r="F70" s="4">
        <v>1.4791666666666668E-2</v>
      </c>
      <c r="G70" s="2">
        <v>154</v>
      </c>
      <c r="H70" s="10">
        <v>105</v>
      </c>
    </row>
    <row r="71" spans="2:8" ht="15" customHeight="1" x14ac:dyDescent="0.25">
      <c r="B71" s="12">
        <v>44112</v>
      </c>
      <c r="C71" s="33">
        <v>2</v>
      </c>
      <c r="D71" s="3">
        <v>1722</v>
      </c>
      <c r="E71" s="2">
        <v>0.76</v>
      </c>
      <c r="F71" s="4">
        <v>1.1851851851851851E-2</v>
      </c>
      <c r="G71" s="2">
        <v>124</v>
      </c>
      <c r="H71" s="10">
        <v>104</v>
      </c>
    </row>
    <row r="72" spans="2:8" x14ac:dyDescent="0.25">
      <c r="B72" s="12">
        <v>44112</v>
      </c>
      <c r="C72" s="33">
        <v>3</v>
      </c>
      <c r="D72" s="3">
        <v>4169</v>
      </c>
      <c r="E72" s="2">
        <v>1.83</v>
      </c>
      <c r="F72" s="4">
        <v>2.8402777777777777E-2</v>
      </c>
      <c r="G72" s="2">
        <v>320</v>
      </c>
      <c r="H72" s="10">
        <v>112</v>
      </c>
    </row>
    <row r="73" spans="2:8" x14ac:dyDescent="0.25">
      <c r="B73" s="12">
        <v>44112</v>
      </c>
      <c r="C73" s="33">
        <v>4</v>
      </c>
      <c r="D73" s="3">
        <v>1626</v>
      </c>
      <c r="E73" s="2">
        <v>0.71</v>
      </c>
      <c r="F73" s="4">
        <v>1.1562499999999998E-2</v>
      </c>
      <c r="G73" s="2">
        <v>132</v>
      </c>
      <c r="H73" s="10">
        <v>114</v>
      </c>
    </row>
    <row r="74" spans="2:8" x14ac:dyDescent="0.25">
      <c r="B74" s="12">
        <v>44112</v>
      </c>
      <c r="C74" s="33">
        <v>5</v>
      </c>
      <c r="D74" s="3">
        <v>3048</v>
      </c>
      <c r="E74" s="2">
        <v>1.17</v>
      </c>
      <c r="F74" s="4">
        <v>2.7777777777777776E-2</v>
      </c>
      <c r="G74" s="2">
        <v>429</v>
      </c>
      <c r="H74" s="10">
        <v>98</v>
      </c>
    </row>
    <row r="75" spans="2:8" x14ac:dyDescent="0.25">
      <c r="B75" s="12">
        <v>44113</v>
      </c>
      <c r="C75" s="33">
        <v>1</v>
      </c>
      <c r="D75" s="3">
        <v>1816</v>
      </c>
      <c r="E75" s="2">
        <v>0.8</v>
      </c>
      <c r="F75" s="4">
        <v>1.2870370370370372E-2</v>
      </c>
      <c r="G75" s="2">
        <v>144</v>
      </c>
      <c r="H75" s="10">
        <v>109</v>
      </c>
    </row>
    <row r="76" spans="2:8" x14ac:dyDescent="0.25">
      <c r="B76" s="12">
        <v>44113</v>
      </c>
      <c r="C76" s="33">
        <v>2</v>
      </c>
      <c r="D76" s="3">
        <v>1661</v>
      </c>
      <c r="E76" s="2">
        <v>0.73</v>
      </c>
      <c r="F76" s="4">
        <v>1.1284722222222222E-2</v>
      </c>
      <c r="G76" s="2">
        <v>129</v>
      </c>
      <c r="H76" s="10">
        <v>108</v>
      </c>
    </row>
    <row r="77" spans="2:8" x14ac:dyDescent="0.25">
      <c r="B77" s="12">
        <v>44113</v>
      </c>
      <c r="C77" s="33">
        <v>3</v>
      </c>
      <c r="D77" s="3">
        <v>2656</v>
      </c>
      <c r="E77" s="2">
        <v>1.1599999999999999</v>
      </c>
      <c r="F77" s="4">
        <v>1.832175925925926E-2</v>
      </c>
      <c r="G77" s="2">
        <v>200</v>
      </c>
      <c r="H77" s="10">
        <v>108</v>
      </c>
    </row>
    <row r="78" spans="2:8" x14ac:dyDescent="0.25">
      <c r="B78" s="12">
        <v>44113</v>
      </c>
      <c r="C78" s="33">
        <v>4</v>
      </c>
      <c r="D78" s="3">
        <v>1663</v>
      </c>
      <c r="E78" s="2">
        <v>0.73</v>
      </c>
      <c r="F78" s="4">
        <v>1.1967592592592592E-2</v>
      </c>
      <c r="G78" s="2">
        <v>129</v>
      </c>
      <c r="H78" s="10">
        <v>110</v>
      </c>
    </row>
    <row r="79" spans="2:8" x14ac:dyDescent="0.25">
      <c r="B79" s="12">
        <v>44114</v>
      </c>
      <c r="C79" s="33">
        <v>1</v>
      </c>
      <c r="D79" s="3">
        <v>517</v>
      </c>
      <c r="E79" s="2">
        <v>2.2599999999999998</v>
      </c>
      <c r="F79" s="4">
        <v>3.3587962962962965E-2</v>
      </c>
      <c r="G79" s="2">
        <v>395</v>
      </c>
      <c r="H79" s="10">
        <v>111</v>
      </c>
    </row>
    <row r="80" spans="2:8" x14ac:dyDescent="0.25">
      <c r="B80" s="12">
        <v>44115</v>
      </c>
      <c r="C80" s="33">
        <v>1</v>
      </c>
      <c r="D80" s="3">
        <v>5397</v>
      </c>
      <c r="E80" s="2">
        <v>2.4</v>
      </c>
      <c r="F80" s="4">
        <v>3.667824074074074E-2</v>
      </c>
      <c r="G80" s="2">
        <v>411</v>
      </c>
      <c r="H80" s="10">
        <v>110</v>
      </c>
    </row>
    <row r="81" spans="2:14" x14ac:dyDescent="0.25">
      <c r="B81" s="12">
        <v>44117</v>
      </c>
      <c r="C81" s="33">
        <v>1</v>
      </c>
      <c r="D81" s="3">
        <v>1812</v>
      </c>
      <c r="E81" s="2">
        <v>0.79</v>
      </c>
      <c r="F81" s="4">
        <v>1.2789351851851852E-2</v>
      </c>
      <c r="G81" s="2">
        <v>132</v>
      </c>
      <c r="H81" s="10">
        <v>104</v>
      </c>
    </row>
    <row r="82" spans="2:14" x14ac:dyDescent="0.25">
      <c r="B82" s="12">
        <v>44117</v>
      </c>
      <c r="C82" s="33">
        <v>2</v>
      </c>
      <c r="D82" s="3">
        <v>1607</v>
      </c>
      <c r="E82" s="2">
        <v>0.7</v>
      </c>
      <c r="F82" s="4">
        <v>1.1412037037037038E-2</v>
      </c>
      <c r="G82" s="2">
        <v>122</v>
      </c>
      <c r="H82" s="10">
        <v>108</v>
      </c>
    </row>
    <row r="83" spans="2:14" x14ac:dyDescent="0.25">
      <c r="B83" s="12">
        <v>44117</v>
      </c>
      <c r="C83" s="33">
        <v>3</v>
      </c>
      <c r="D83" s="3">
        <v>2894</v>
      </c>
      <c r="E83" s="2">
        <v>1.26</v>
      </c>
      <c r="F83" s="4">
        <v>2.1203703703703707E-2</v>
      </c>
      <c r="G83" s="2">
        <v>238</v>
      </c>
      <c r="H83" s="10">
        <v>114</v>
      </c>
    </row>
    <row r="84" spans="2:14" x14ac:dyDescent="0.25">
      <c r="B84" s="12">
        <v>44117</v>
      </c>
      <c r="C84" s="33">
        <v>4</v>
      </c>
      <c r="D84" s="3">
        <v>1449</v>
      </c>
      <c r="E84" s="2">
        <v>0.63</v>
      </c>
      <c r="F84" s="4">
        <v>1.9641203703703706E-2</v>
      </c>
      <c r="G84" s="2">
        <v>132</v>
      </c>
      <c r="H84" s="10">
        <v>98</v>
      </c>
    </row>
    <row r="85" spans="2:14" x14ac:dyDescent="0.25">
      <c r="B85" s="12">
        <v>44118</v>
      </c>
      <c r="C85" s="33">
        <v>1</v>
      </c>
      <c r="D85" s="3">
        <v>1991</v>
      </c>
      <c r="E85" s="2">
        <v>0.87</v>
      </c>
      <c r="F85" s="4">
        <v>1.4780092592592595E-2</v>
      </c>
      <c r="G85" s="2">
        <v>150</v>
      </c>
      <c r="H85" s="10">
        <v>106</v>
      </c>
    </row>
    <row r="86" spans="2:14" x14ac:dyDescent="0.25">
      <c r="B86" s="12">
        <v>44118</v>
      </c>
      <c r="C86" s="33">
        <v>2</v>
      </c>
      <c r="D86" s="3">
        <v>1616</v>
      </c>
      <c r="E86" s="2">
        <v>0.71</v>
      </c>
      <c r="F86" s="4">
        <v>1.1782407407407406E-2</v>
      </c>
      <c r="G86" s="2">
        <v>119</v>
      </c>
      <c r="H86" s="10">
        <v>107</v>
      </c>
    </row>
    <row r="87" spans="2:14" x14ac:dyDescent="0.25">
      <c r="B87" s="12">
        <v>44118</v>
      </c>
      <c r="C87" s="33">
        <v>3</v>
      </c>
      <c r="D87" s="3">
        <v>2622</v>
      </c>
      <c r="E87" s="2">
        <v>1.1499999999999999</v>
      </c>
      <c r="F87" s="4">
        <v>1.9479166666666669E-2</v>
      </c>
      <c r="G87" s="2">
        <v>203</v>
      </c>
      <c r="H87" s="10">
        <v>107</v>
      </c>
    </row>
    <row r="88" spans="2:14" x14ac:dyDescent="0.25">
      <c r="B88" s="12">
        <v>44118</v>
      </c>
      <c r="C88" s="33">
        <v>4</v>
      </c>
      <c r="D88" s="3">
        <v>1475</v>
      </c>
      <c r="E88" s="2">
        <v>0.65</v>
      </c>
      <c r="F88" s="4">
        <v>1.045138888888889E-2</v>
      </c>
      <c r="G88" s="2">
        <v>112</v>
      </c>
      <c r="H88" s="10">
        <v>113</v>
      </c>
      <c r="J88" s="46"/>
      <c r="K88" s="46"/>
      <c r="L88" s="46"/>
      <c r="M88" s="46"/>
      <c r="N88" s="46"/>
    </row>
    <row r="89" spans="2:14" x14ac:dyDescent="0.25">
      <c r="B89" s="12">
        <v>44119</v>
      </c>
      <c r="C89" s="33">
        <v>1</v>
      </c>
      <c r="D89" s="3">
        <v>2301</v>
      </c>
      <c r="E89" s="2">
        <v>1.01</v>
      </c>
      <c r="F89" s="4">
        <v>1.5590277777777778E-2</v>
      </c>
      <c r="G89" s="2">
        <v>173</v>
      </c>
      <c r="H89" s="10">
        <v>106</v>
      </c>
    </row>
    <row r="90" spans="2:14" x14ac:dyDescent="0.25">
      <c r="B90" s="12">
        <v>44119</v>
      </c>
      <c r="C90" s="33">
        <v>2</v>
      </c>
      <c r="D90" s="3">
        <v>1673</v>
      </c>
      <c r="E90" s="2">
        <v>0.74</v>
      </c>
      <c r="F90" s="4">
        <v>1.1828703703703704E-2</v>
      </c>
      <c r="G90" s="2">
        <v>121</v>
      </c>
      <c r="H90" s="10">
        <v>103</v>
      </c>
    </row>
    <row r="91" spans="2:14" x14ac:dyDescent="0.25">
      <c r="B91" s="12">
        <v>44119</v>
      </c>
      <c r="C91" s="33">
        <v>3</v>
      </c>
      <c r="D91" s="3">
        <v>2692</v>
      </c>
      <c r="E91" s="2">
        <v>1.17</v>
      </c>
      <c r="F91" s="4">
        <v>1.9247685185185184E-2</v>
      </c>
      <c r="G91" s="2">
        <v>221</v>
      </c>
      <c r="H91" s="10">
        <v>112</v>
      </c>
    </row>
    <row r="92" spans="2:14" x14ac:dyDescent="0.25">
      <c r="B92" s="12">
        <v>44119</v>
      </c>
      <c r="C92" s="33">
        <v>4</v>
      </c>
      <c r="D92" s="3">
        <v>1683</v>
      </c>
      <c r="E92" s="2">
        <v>0.74</v>
      </c>
      <c r="F92" s="4">
        <v>1.1712962962962965E-2</v>
      </c>
      <c r="G92" s="2">
        <v>129</v>
      </c>
      <c r="H92" s="10">
        <v>112</v>
      </c>
    </row>
    <row r="93" spans="2:14" x14ac:dyDescent="0.25">
      <c r="B93" s="12">
        <v>44120</v>
      </c>
      <c r="C93" s="33">
        <v>1</v>
      </c>
      <c r="D93" s="3">
        <v>1902</v>
      </c>
      <c r="E93" s="2">
        <v>0.84</v>
      </c>
      <c r="F93" s="4">
        <v>1.3032407407407407E-2</v>
      </c>
      <c r="G93" s="2">
        <v>145</v>
      </c>
      <c r="H93" s="10">
        <v>107</v>
      </c>
    </row>
    <row r="94" spans="2:14" x14ac:dyDescent="0.25">
      <c r="B94" s="12">
        <v>44120</v>
      </c>
      <c r="C94" s="33">
        <v>2</v>
      </c>
      <c r="D94" s="3">
        <v>1636</v>
      </c>
      <c r="E94" s="2">
        <v>0.72</v>
      </c>
      <c r="F94" s="4">
        <v>1.1400462962962965E-2</v>
      </c>
      <c r="G94" s="2">
        <v>115</v>
      </c>
      <c r="H94" s="10">
        <v>104</v>
      </c>
    </row>
    <row r="95" spans="2:14" x14ac:dyDescent="0.25">
      <c r="B95" s="12">
        <v>44120</v>
      </c>
      <c r="C95" s="33">
        <v>3</v>
      </c>
      <c r="D95" s="3">
        <v>2659</v>
      </c>
      <c r="E95" s="2">
        <v>1.1599999999999999</v>
      </c>
      <c r="F95" s="4">
        <v>1.8634259259259257E-2</v>
      </c>
      <c r="G95" s="2">
        <v>211</v>
      </c>
      <c r="H95" s="10">
        <v>108</v>
      </c>
    </row>
    <row r="96" spans="2:14" x14ac:dyDescent="0.25">
      <c r="B96" s="12">
        <v>44120</v>
      </c>
      <c r="C96" s="33">
        <v>4</v>
      </c>
      <c r="D96" s="3">
        <v>1454</v>
      </c>
      <c r="E96" s="2">
        <v>0.64</v>
      </c>
      <c r="F96" s="4">
        <v>1.0590277777777777E-2</v>
      </c>
      <c r="G96" s="2">
        <v>116</v>
      </c>
      <c r="H96" s="10">
        <v>112</v>
      </c>
    </row>
    <row r="97" spans="2:8" x14ac:dyDescent="0.25">
      <c r="B97" s="12">
        <v>44121</v>
      </c>
      <c r="C97" s="33">
        <v>1</v>
      </c>
      <c r="D97" s="3">
        <v>5086</v>
      </c>
      <c r="E97" s="2">
        <v>2.25</v>
      </c>
      <c r="F97" s="4">
        <v>3.3125000000000002E-2</v>
      </c>
      <c r="G97" s="2">
        <v>388</v>
      </c>
      <c r="H97" s="10">
        <v>113</v>
      </c>
    </row>
    <row r="98" spans="2:8" x14ac:dyDescent="0.25">
      <c r="B98" s="12">
        <v>44122</v>
      </c>
      <c r="C98" s="33">
        <v>1</v>
      </c>
      <c r="D98" s="3">
        <v>2968</v>
      </c>
      <c r="E98" s="2">
        <v>1.3</v>
      </c>
      <c r="F98" s="4">
        <v>2.1203703703703707E-2</v>
      </c>
      <c r="G98" s="2">
        <v>214</v>
      </c>
      <c r="H98" s="10">
        <v>100</v>
      </c>
    </row>
    <row r="99" spans="2:8" x14ac:dyDescent="0.25">
      <c r="B99" s="12">
        <v>44122</v>
      </c>
      <c r="C99" s="33">
        <v>2</v>
      </c>
      <c r="D99" s="3">
        <v>5210</v>
      </c>
      <c r="E99" s="2">
        <v>2.2799999999999998</v>
      </c>
      <c r="F99" s="4">
        <v>3.4814814814814812E-2</v>
      </c>
      <c r="G99" s="2">
        <v>378</v>
      </c>
      <c r="H99" s="10">
        <v>105</v>
      </c>
    </row>
    <row r="100" spans="2:8" x14ac:dyDescent="0.25">
      <c r="B100" s="12">
        <v>44123</v>
      </c>
      <c r="C100" s="33">
        <v>1</v>
      </c>
      <c r="D100" s="3">
        <v>1811</v>
      </c>
      <c r="E100" s="2">
        <v>0.8</v>
      </c>
      <c r="F100" s="4">
        <v>1.2800925925925926E-2</v>
      </c>
      <c r="G100" s="2">
        <v>132</v>
      </c>
      <c r="H100" s="10">
        <v>106</v>
      </c>
    </row>
    <row r="101" spans="2:8" x14ac:dyDescent="0.25">
      <c r="B101" s="12">
        <v>44123</v>
      </c>
      <c r="C101" s="33">
        <v>2</v>
      </c>
      <c r="D101" s="3">
        <v>1600</v>
      </c>
      <c r="E101" s="2">
        <v>0.7</v>
      </c>
      <c r="F101" s="4">
        <v>1.1064814814814814E-2</v>
      </c>
      <c r="G101" s="2">
        <v>119</v>
      </c>
      <c r="H101" s="10">
        <v>104</v>
      </c>
    </row>
    <row r="102" spans="2:8" x14ac:dyDescent="0.25">
      <c r="B102" s="12">
        <v>44123</v>
      </c>
      <c r="C102" s="33">
        <v>3</v>
      </c>
      <c r="D102" s="3">
        <v>2617</v>
      </c>
      <c r="E102" s="2">
        <v>1.1499999999999999</v>
      </c>
      <c r="F102" s="4">
        <v>1.8819444444444448E-2</v>
      </c>
      <c r="G102" s="2">
        <v>205</v>
      </c>
      <c r="H102" s="10">
        <v>106</v>
      </c>
    </row>
    <row r="103" spans="2:8" x14ac:dyDescent="0.25">
      <c r="B103" s="12">
        <v>44123</v>
      </c>
      <c r="C103" s="33">
        <v>4</v>
      </c>
      <c r="D103" s="3">
        <v>1423</v>
      </c>
      <c r="E103" s="2">
        <v>0.62</v>
      </c>
      <c r="F103" s="4">
        <v>1.03125E-2</v>
      </c>
      <c r="G103" s="2">
        <v>114</v>
      </c>
      <c r="H103" s="10">
        <v>109</v>
      </c>
    </row>
    <row r="104" spans="2:8" x14ac:dyDescent="0.25">
      <c r="B104" s="12">
        <v>44124</v>
      </c>
      <c r="C104" s="33">
        <v>1</v>
      </c>
      <c r="D104" s="3">
        <v>2392</v>
      </c>
      <c r="E104" s="2">
        <v>1.04</v>
      </c>
      <c r="F104" s="4">
        <v>1.6863425925925928E-2</v>
      </c>
      <c r="G104" s="2">
        <v>183</v>
      </c>
      <c r="H104" s="10">
        <v>105</v>
      </c>
    </row>
    <row r="105" spans="2:8" x14ac:dyDescent="0.25">
      <c r="B105" s="12">
        <v>44124</v>
      </c>
      <c r="C105" s="33">
        <v>2</v>
      </c>
      <c r="D105" s="3">
        <v>1617</v>
      </c>
      <c r="E105" s="2">
        <v>0.71</v>
      </c>
      <c r="F105" s="4">
        <v>1.1284722222222222E-2</v>
      </c>
      <c r="G105" s="2">
        <v>119</v>
      </c>
      <c r="H105" s="10">
        <v>103</v>
      </c>
    </row>
    <row r="106" spans="2:8" x14ac:dyDescent="0.25">
      <c r="B106" s="12">
        <v>44124</v>
      </c>
      <c r="C106" s="33">
        <v>3</v>
      </c>
      <c r="D106" s="3">
        <v>2638</v>
      </c>
      <c r="E106" s="2">
        <v>1.1599999999999999</v>
      </c>
      <c r="F106" s="4">
        <v>1.9131944444444444E-2</v>
      </c>
      <c r="G106" s="2">
        <v>208</v>
      </c>
      <c r="H106" s="10">
        <v>104</v>
      </c>
    </row>
    <row r="107" spans="2:8" x14ac:dyDescent="0.25">
      <c r="B107" s="12">
        <v>44124</v>
      </c>
      <c r="C107" s="33">
        <v>4</v>
      </c>
      <c r="D107" s="3">
        <v>1421</v>
      </c>
      <c r="E107" s="2">
        <v>0.63</v>
      </c>
      <c r="F107" s="4">
        <v>1.0208333333333333E-2</v>
      </c>
      <c r="G107" s="2">
        <v>109</v>
      </c>
      <c r="H107" s="10">
        <v>107</v>
      </c>
    </row>
    <row r="108" spans="2:8" x14ac:dyDescent="0.25">
      <c r="B108" s="12">
        <v>44125</v>
      </c>
      <c r="C108" s="33">
        <v>1</v>
      </c>
      <c r="D108" s="3">
        <v>2846</v>
      </c>
      <c r="E108" s="2">
        <v>1.25</v>
      </c>
      <c r="F108" s="4">
        <v>1.982638888888889E-2</v>
      </c>
      <c r="G108" s="2">
        <v>212</v>
      </c>
      <c r="H108" s="10">
        <v>104</v>
      </c>
    </row>
    <row r="109" spans="2:8" x14ac:dyDescent="0.25">
      <c r="B109" s="12">
        <v>44125</v>
      </c>
      <c r="C109" s="33">
        <v>2</v>
      </c>
      <c r="D109" s="3">
        <v>1630</v>
      </c>
      <c r="E109" s="2">
        <v>0.71</v>
      </c>
      <c r="F109" s="4">
        <v>1.1504629629629629E-2</v>
      </c>
      <c r="G109" s="2">
        <v>123</v>
      </c>
      <c r="H109" s="10">
        <v>107</v>
      </c>
    </row>
    <row r="110" spans="2:8" x14ac:dyDescent="0.25">
      <c r="B110" s="12">
        <v>44125</v>
      </c>
      <c r="C110" s="33">
        <v>3</v>
      </c>
      <c r="D110" s="3">
        <v>2624</v>
      </c>
      <c r="E110" s="2">
        <v>1.1499999999999999</v>
      </c>
      <c r="F110" s="4">
        <v>1.9421296296296294E-2</v>
      </c>
      <c r="G110" s="2">
        <v>217</v>
      </c>
      <c r="H110" s="10">
        <v>109</v>
      </c>
    </row>
    <row r="111" spans="2:8" x14ac:dyDescent="0.25">
      <c r="B111" s="12">
        <v>44125</v>
      </c>
      <c r="C111" s="33">
        <v>4</v>
      </c>
      <c r="D111" s="3">
        <v>1654</v>
      </c>
      <c r="E111" s="2">
        <v>0.73</v>
      </c>
      <c r="F111" s="4">
        <v>1.1724537037037035E-2</v>
      </c>
      <c r="G111" s="2">
        <v>126</v>
      </c>
      <c r="H111" s="10">
        <v>109</v>
      </c>
    </row>
    <row r="112" spans="2:8" x14ac:dyDescent="0.25">
      <c r="B112" s="12">
        <v>44126</v>
      </c>
      <c r="C112" s="33">
        <v>1</v>
      </c>
      <c r="D112" s="3">
        <v>2976</v>
      </c>
      <c r="E112" s="2">
        <v>1.3</v>
      </c>
      <c r="F112" s="4">
        <v>2.0196759259259258E-2</v>
      </c>
      <c r="G112" s="2">
        <v>227</v>
      </c>
      <c r="H112" s="10">
        <v>107</v>
      </c>
    </row>
    <row r="113" spans="2:9" x14ac:dyDescent="0.25">
      <c r="B113" s="12">
        <v>44126</v>
      </c>
      <c r="C113" s="33">
        <v>2</v>
      </c>
      <c r="D113" s="3">
        <v>1631</v>
      </c>
      <c r="E113" s="2">
        <v>0.71</v>
      </c>
      <c r="F113" s="4">
        <v>1.1145833333333334E-2</v>
      </c>
      <c r="G113" s="2">
        <v>124</v>
      </c>
      <c r="H113" s="10">
        <v>108</v>
      </c>
    </row>
    <row r="114" spans="2:9" x14ac:dyDescent="0.25">
      <c r="B114" s="12">
        <v>44126</v>
      </c>
      <c r="C114" s="33">
        <v>3</v>
      </c>
      <c r="D114" s="3">
        <v>3079</v>
      </c>
      <c r="E114" s="2">
        <v>1.34</v>
      </c>
      <c r="F114" s="4">
        <v>2.1180555555555553E-2</v>
      </c>
      <c r="G114" s="2">
        <v>234</v>
      </c>
      <c r="H114" s="10">
        <v>106</v>
      </c>
    </row>
    <row r="115" spans="2:9" x14ac:dyDescent="0.25">
      <c r="B115" s="12">
        <v>44126</v>
      </c>
      <c r="C115" s="33">
        <v>4</v>
      </c>
      <c r="D115" s="3">
        <v>1435</v>
      </c>
      <c r="E115" s="2">
        <v>0.63</v>
      </c>
      <c r="F115" s="4">
        <v>1.0358796296296295E-2</v>
      </c>
      <c r="G115" s="2">
        <v>110</v>
      </c>
      <c r="H115" s="10">
        <v>104</v>
      </c>
    </row>
    <row r="116" spans="2:9" x14ac:dyDescent="0.25">
      <c r="B116" s="12">
        <v>44127</v>
      </c>
      <c r="C116" s="33">
        <v>1</v>
      </c>
      <c r="D116" s="3">
        <v>1877</v>
      </c>
      <c r="E116" s="2">
        <v>0.82</v>
      </c>
      <c r="F116" s="4">
        <v>1.2673611111111109E-2</v>
      </c>
      <c r="G116" s="2">
        <v>139</v>
      </c>
      <c r="H116" s="10">
        <v>104</v>
      </c>
    </row>
    <row r="117" spans="2:9" x14ac:dyDescent="0.25">
      <c r="B117" s="12">
        <v>44127</v>
      </c>
      <c r="C117" s="33">
        <v>2</v>
      </c>
      <c r="D117" s="3">
        <v>1628</v>
      </c>
      <c r="E117" s="2">
        <v>0.71</v>
      </c>
      <c r="F117" s="4">
        <v>1.1111111111111112E-2</v>
      </c>
      <c r="G117" s="2">
        <v>116</v>
      </c>
      <c r="H117" s="10">
        <v>102</v>
      </c>
    </row>
    <row r="118" spans="2:9" x14ac:dyDescent="0.25">
      <c r="B118" s="12">
        <v>44127</v>
      </c>
      <c r="C118" s="33">
        <v>3</v>
      </c>
      <c r="D118" s="3">
        <v>2644</v>
      </c>
      <c r="E118" s="2">
        <v>1.1499999999999999</v>
      </c>
      <c r="F118" s="4">
        <v>1.8402777777777778E-2</v>
      </c>
      <c r="G118" s="2">
        <v>201</v>
      </c>
      <c r="H118" s="10">
        <v>106</v>
      </c>
    </row>
    <row r="119" spans="2:9" x14ac:dyDescent="0.25">
      <c r="B119" s="12">
        <v>44127</v>
      </c>
      <c r="C119" s="33">
        <v>4</v>
      </c>
      <c r="D119" s="3">
        <v>1609</v>
      </c>
      <c r="E119" s="2">
        <v>0.7</v>
      </c>
      <c r="F119" s="4">
        <v>1.1284722222222222E-2</v>
      </c>
      <c r="G119" s="2">
        <v>116</v>
      </c>
      <c r="H119" s="10">
        <v>105</v>
      </c>
    </row>
    <row r="120" spans="2:9" x14ac:dyDescent="0.25">
      <c r="B120" s="12">
        <v>44128</v>
      </c>
      <c r="C120" s="33">
        <v>1</v>
      </c>
      <c r="D120" s="3">
        <v>5048</v>
      </c>
      <c r="E120" s="2">
        <v>2.2200000000000002</v>
      </c>
      <c r="F120" s="4">
        <v>3.2685185185185185E-2</v>
      </c>
      <c r="G120" s="2">
        <v>378</v>
      </c>
      <c r="H120" s="10">
        <v>110</v>
      </c>
    </row>
    <row r="121" spans="2:9" x14ac:dyDescent="0.25">
      <c r="B121" s="12">
        <v>44128</v>
      </c>
      <c r="C121" s="33">
        <v>2</v>
      </c>
      <c r="D121" s="3">
        <v>3108</v>
      </c>
      <c r="E121" s="2">
        <v>1.36</v>
      </c>
      <c r="F121" s="4">
        <v>2.0648148148148148E-2</v>
      </c>
      <c r="G121" s="2">
        <v>235</v>
      </c>
      <c r="H121" s="10">
        <v>107</v>
      </c>
    </row>
    <row r="122" spans="2:9" x14ac:dyDescent="0.25">
      <c r="B122" s="12">
        <v>44129</v>
      </c>
      <c r="C122" s="33">
        <v>1</v>
      </c>
      <c r="D122" s="3">
        <v>5461</v>
      </c>
      <c r="E122" s="2">
        <v>2.4</v>
      </c>
      <c r="F122" s="4">
        <v>3.5069444444444445E-2</v>
      </c>
      <c r="G122" s="2">
        <v>411</v>
      </c>
      <c r="H122" s="10">
        <v>110</v>
      </c>
    </row>
    <row r="123" spans="2:9" x14ac:dyDescent="0.25">
      <c r="B123" s="12">
        <v>44129</v>
      </c>
      <c r="C123" s="33">
        <v>2</v>
      </c>
      <c r="D123" s="3">
        <v>5423</v>
      </c>
      <c r="E123" s="2">
        <v>2.38</v>
      </c>
      <c r="F123" s="4">
        <v>3.5370370370370365E-2</v>
      </c>
      <c r="G123" s="2">
        <v>418</v>
      </c>
      <c r="H123" s="10">
        <v>113</v>
      </c>
    </row>
    <row r="124" spans="2:9" x14ac:dyDescent="0.25">
      <c r="B124" s="12">
        <v>44130</v>
      </c>
      <c r="C124" s="33">
        <v>1</v>
      </c>
      <c r="D124" s="3">
        <v>1855</v>
      </c>
      <c r="E124" s="2">
        <v>0.81</v>
      </c>
      <c r="F124" s="4">
        <v>1.3402777777777777E-2</v>
      </c>
      <c r="G124" s="2">
        <v>143</v>
      </c>
      <c r="H124" s="10">
        <v>106</v>
      </c>
      <c r="I124" t="s">
        <v>24</v>
      </c>
    </row>
    <row r="125" spans="2:9" x14ac:dyDescent="0.25">
      <c r="B125" s="12">
        <v>44130</v>
      </c>
      <c r="C125" s="33">
        <v>2</v>
      </c>
      <c r="D125" s="3">
        <v>1620</v>
      </c>
      <c r="E125" s="2">
        <v>0.72</v>
      </c>
      <c r="F125" s="4">
        <v>1.1168981481481481E-2</v>
      </c>
      <c r="G125" s="2">
        <v>115</v>
      </c>
      <c r="H125" s="10">
        <v>106</v>
      </c>
    </row>
    <row r="126" spans="2:9" x14ac:dyDescent="0.25">
      <c r="B126" s="12">
        <v>44130</v>
      </c>
      <c r="C126" s="33">
        <v>3</v>
      </c>
      <c r="D126" s="3">
        <v>2536</v>
      </c>
      <c r="E126" s="2">
        <v>1.1000000000000001</v>
      </c>
      <c r="F126" s="4">
        <v>1.8622685185185183E-2</v>
      </c>
      <c r="G126" s="2">
        <v>209</v>
      </c>
      <c r="H126" s="10">
        <v>112</v>
      </c>
    </row>
    <row r="127" spans="2:9" x14ac:dyDescent="0.25">
      <c r="B127" s="12">
        <v>44130</v>
      </c>
      <c r="C127" s="33">
        <v>4</v>
      </c>
      <c r="D127" s="3">
        <v>1426</v>
      </c>
      <c r="E127" s="2">
        <v>0.62</v>
      </c>
      <c r="F127" s="4">
        <v>1.0416666666666666E-2</v>
      </c>
      <c r="G127" s="2">
        <v>109</v>
      </c>
      <c r="H127" s="10">
        <v>106</v>
      </c>
    </row>
    <row r="128" spans="2:9" x14ac:dyDescent="0.25">
      <c r="B128" s="12">
        <v>44131</v>
      </c>
      <c r="C128" s="33">
        <v>1</v>
      </c>
      <c r="D128" s="3">
        <v>2704</v>
      </c>
      <c r="E128" s="2">
        <v>1.18</v>
      </c>
      <c r="F128" s="4">
        <v>1.9398148148148147E-2</v>
      </c>
      <c r="G128" s="2">
        <v>211</v>
      </c>
      <c r="H128" s="10">
        <v>109</v>
      </c>
      <c r="I128" t="s">
        <v>24</v>
      </c>
    </row>
    <row r="129" spans="2:9" x14ac:dyDescent="0.25">
      <c r="B129" s="12">
        <v>44131</v>
      </c>
      <c r="C129" s="33">
        <v>2</v>
      </c>
      <c r="D129" s="3">
        <v>1792</v>
      </c>
      <c r="E129" s="2">
        <v>0.78</v>
      </c>
      <c r="F129" s="4">
        <v>1.2106481481481482E-2</v>
      </c>
      <c r="G129" s="2">
        <v>150</v>
      </c>
      <c r="H129" s="10">
        <v>116</v>
      </c>
    </row>
    <row r="130" spans="2:9" x14ac:dyDescent="0.25">
      <c r="B130" s="12">
        <v>44131</v>
      </c>
      <c r="C130" s="33">
        <v>3</v>
      </c>
      <c r="D130" s="3">
        <v>2547</v>
      </c>
      <c r="E130" s="2">
        <v>1.1200000000000001</v>
      </c>
      <c r="F130" s="4">
        <v>1.7997685185185186E-2</v>
      </c>
      <c r="G130" s="2">
        <v>207</v>
      </c>
      <c r="H130" s="10">
        <v>112</v>
      </c>
    </row>
    <row r="131" spans="2:9" x14ac:dyDescent="0.25">
      <c r="B131" s="12">
        <v>44131</v>
      </c>
      <c r="C131" s="33">
        <v>4</v>
      </c>
      <c r="D131" s="3">
        <v>1406</v>
      </c>
      <c r="E131" s="2">
        <v>0.61</v>
      </c>
      <c r="F131" s="4">
        <v>1.0173611111111111E-2</v>
      </c>
      <c r="G131" s="2">
        <v>106</v>
      </c>
      <c r="H131" s="10">
        <v>107</v>
      </c>
    </row>
    <row r="132" spans="2:9" x14ac:dyDescent="0.25">
      <c r="B132" s="12">
        <v>44132</v>
      </c>
      <c r="C132" s="33">
        <v>1</v>
      </c>
      <c r="D132" s="3">
        <v>2212</v>
      </c>
      <c r="E132" s="2">
        <v>0.97</v>
      </c>
      <c r="F132" s="4">
        <v>1.4884259259259259E-2</v>
      </c>
      <c r="G132" s="2">
        <v>161</v>
      </c>
      <c r="H132" s="10">
        <v>106</v>
      </c>
    </row>
    <row r="133" spans="2:9" x14ac:dyDescent="0.25">
      <c r="B133" s="12">
        <v>44132</v>
      </c>
      <c r="C133" s="33">
        <v>2</v>
      </c>
      <c r="D133" s="3">
        <v>1624</v>
      </c>
      <c r="E133" s="2">
        <v>0.72</v>
      </c>
      <c r="F133" s="4">
        <v>1.105324074074074E-2</v>
      </c>
      <c r="G133" s="2">
        <v>119</v>
      </c>
      <c r="H133" s="10">
        <v>105</v>
      </c>
    </row>
    <row r="134" spans="2:9" x14ac:dyDescent="0.25">
      <c r="B134" s="12">
        <v>44132</v>
      </c>
      <c r="C134" s="33">
        <v>3</v>
      </c>
      <c r="D134" s="3">
        <v>2514</v>
      </c>
      <c r="E134" s="2">
        <v>1.1000000000000001</v>
      </c>
      <c r="F134" s="4">
        <v>1.7430555555555557E-2</v>
      </c>
      <c r="G134" s="2">
        <v>181</v>
      </c>
      <c r="H134" s="10">
        <v>103</v>
      </c>
      <c r="I134" s="39"/>
    </row>
    <row r="135" spans="2:9" x14ac:dyDescent="0.25">
      <c r="B135" s="12">
        <v>44132</v>
      </c>
      <c r="C135" s="33">
        <v>4</v>
      </c>
      <c r="D135" s="3">
        <v>1479</v>
      </c>
      <c r="E135" s="2">
        <v>0.65</v>
      </c>
      <c r="F135" s="4">
        <v>1.037037037037037E-2</v>
      </c>
      <c r="G135" s="2">
        <v>106</v>
      </c>
      <c r="H135" s="10">
        <v>106</v>
      </c>
    </row>
    <row r="136" spans="2:9" x14ac:dyDescent="0.25">
      <c r="B136" s="12">
        <v>44133</v>
      </c>
      <c r="C136" s="33">
        <v>1</v>
      </c>
      <c r="D136" s="3">
        <v>1849</v>
      </c>
      <c r="E136" s="2">
        <v>0.81</v>
      </c>
      <c r="F136" s="4">
        <v>1.2662037037037039E-2</v>
      </c>
      <c r="G136" s="2">
        <v>139</v>
      </c>
      <c r="H136" s="10">
        <v>105</v>
      </c>
    </row>
    <row r="137" spans="2:9" x14ac:dyDescent="0.25">
      <c r="B137" s="12">
        <v>44133</v>
      </c>
      <c r="C137" s="33">
        <v>2</v>
      </c>
      <c r="D137" s="3">
        <v>1606</v>
      </c>
      <c r="E137" s="2">
        <v>0.7</v>
      </c>
      <c r="F137" s="4">
        <v>1.0972222222222223E-2</v>
      </c>
      <c r="G137" s="2">
        <v>122</v>
      </c>
      <c r="H137" s="10">
        <v>109</v>
      </c>
    </row>
    <row r="138" spans="2:9" x14ac:dyDescent="0.25">
      <c r="B138" s="12">
        <v>44133</v>
      </c>
      <c r="C138" s="33">
        <v>3</v>
      </c>
      <c r="D138" s="3">
        <v>4288</v>
      </c>
      <c r="E138" s="2">
        <v>1.88</v>
      </c>
      <c r="F138" s="4">
        <v>2.9814814814814811E-2</v>
      </c>
      <c r="G138" s="2">
        <v>349</v>
      </c>
      <c r="H138" s="10">
        <v>115</v>
      </c>
    </row>
    <row r="139" spans="2:9" x14ac:dyDescent="0.25">
      <c r="B139" s="12">
        <v>44133</v>
      </c>
      <c r="C139" s="33">
        <v>4</v>
      </c>
      <c r="D139" s="3">
        <v>1431</v>
      </c>
      <c r="E139" s="2">
        <v>0.63</v>
      </c>
      <c r="F139" s="4">
        <v>1.0439814814814813E-2</v>
      </c>
      <c r="G139" s="2">
        <v>103</v>
      </c>
      <c r="H139" s="10">
        <v>106</v>
      </c>
    </row>
    <row r="140" spans="2:9" x14ac:dyDescent="0.25">
      <c r="B140" s="12">
        <v>44134</v>
      </c>
      <c r="C140" s="33">
        <v>1</v>
      </c>
      <c r="D140" s="3">
        <v>1846</v>
      </c>
      <c r="E140" s="2">
        <v>0.81</v>
      </c>
      <c r="F140" s="4">
        <v>1.2870370370370372E-2</v>
      </c>
      <c r="G140" s="2">
        <v>132</v>
      </c>
      <c r="H140" s="10">
        <v>104</v>
      </c>
    </row>
    <row r="141" spans="2:9" x14ac:dyDescent="0.25">
      <c r="B141" s="12">
        <v>44134</v>
      </c>
      <c r="C141" s="33">
        <v>2</v>
      </c>
      <c r="D141" s="3">
        <v>1618</v>
      </c>
      <c r="E141" s="2">
        <v>0.71</v>
      </c>
      <c r="F141" s="4">
        <v>1.0902777777777777E-2</v>
      </c>
      <c r="G141" s="2">
        <v>113</v>
      </c>
      <c r="H141" s="10">
        <v>105</v>
      </c>
    </row>
    <row r="142" spans="2:9" x14ac:dyDescent="0.25">
      <c r="B142" s="12">
        <v>44134</v>
      </c>
      <c r="C142" s="33">
        <v>3</v>
      </c>
      <c r="D142" s="3">
        <v>2346</v>
      </c>
      <c r="E142" s="2">
        <v>1.03</v>
      </c>
      <c r="F142" s="4">
        <v>1.6273148148148148E-2</v>
      </c>
      <c r="G142" s="2">
        <v>199</v>
      </c>
      <c r="H142" s="10">
        <v>115</v>
      </c>
    </row>
    <row r="143" spans="2:9" x14ac:dyDescent="0.25">
      <c r="B143" s="12">
        <v>44134</v>
      </c>
      <c r="C143" s="33">
        <v>4</v>
      </c>
      <c r="D143" s="3">
        <v>1410</v>
      </c>
      <c r="E143" s="2">
        <v>0.62</v>
      </c>
      <c r="F143" s="4">
        <v>9.8958333333333329E-3</v>
      </c>
      <c r="G143" s="2">
        <v>104</v>
      </c>
      <c r="H143" s="10">
        <v>104</v>
      </c>
    </row>
    <row r="144" spans="2:9" x14ac:dyDescent="0.25">
      <c r="B144" s="12">
        <v>44135</v>
      </c>
      <c r="C144" s="33">
        <v>2</v>
      </c>
      <c r="D144" s="3">
        <v>5439</v>
      </c>
      <c r="E144" s="2">
        <v>2.39</v>
      </c>
      <c r="F144" s="4">
        <v>3.5289351851851856E-2</v>
      </c>
      <c r="G144" s="2">
        <v>407</v>
      </c>
      <c r="H144" s="10">
        <v>110</v>
      </c>
    </row>
    <row r="145" spans="2:15" x14ac:dyDescent="0.25">
      <c r="B145" s="12"/>
      <c r="C145" s="33"/>
      <c r="D145" s="3"/>
      <c r="E145" s="2"/>
      <c r="F145" s="4"/>
      <c r="G145" s="2"/>
      <c r="H145" s="10"/>
    </row>
    <row r="146" spans="2:15" x14ac:dyDescent="0.25">
      <c r="B146" s="5" t="s">
        <v>15</v>
      </c>
      <c r="C146" s="5"/>
      <c r="D146" s="5" t="s">
        <v>1</v>
      </c>
      <c r="E146" s="5" t="s">
        <v>7</v>
      </c>
      <c r="F146" s="5" t="s">
        <v>6</v>
      </c>
      <c r="G146" s="11" t="s">
        <v>8</v>
      </c>
      <c r="H146" s="9" t="s">
        <v>2</v>
      </c>
    </row>
    <row r="147" spans="2:15" x14ac:dyDescent="0.25">
      <c r="B147" s="13">
        <f>COUNT(B48:B145)</f>
        <v>97</v>
      </c>
      <c r="D147" s="8">
        <f>SUM(D48:D145)</f>
        <v>221512</v>
      </c>
      <c r="E147" s="6">
        <f>SUM(E48:E145)</f>
        <v>98.97999999999999</v>
      </c>
      <c r="F147" s="38">
        <f>SUM(F48:F145)</f>
        <v>1.5830439814814818</v>
      </c>
      <c r="G147" s="6">
        <f>SUM(G48:G145)</f>
        <v>17466</v>
      </c>
      <c r="I147" s="6" t="s">
        <v>19</v>
      </c>
    </row>
    <row r="148" spans="2:15" ht="15.75" thickBot="1" x14ac:dyDescent="0.3">
      <c r="B148" s="13">
        <f>COUNT(_xlfn.UNIQUE(B48:B145))</f>
        <v>30</v>
      </c>
      <c r="C148" s="35" t="s">
        <v>23</v>
      </c>
      <c r="D148" s="8"/>
      <c r="E148" s="6"/>
      <c r="F148" s="7"/>
      <c r="G148" s="6"/>
      <c r="I148" s="6"/>
    </row>
    <row r="149" spans="2:15" x14ac:dyDescent="0.25">
      <c r="B149" s="19"/>
      <c r="C149" s="36" t="s">
        <v>3</v>
      </c>
      <c r="D149" s="20">
        <f>AVERAGE(D48:D145)</f>
        <v>2283.6288659793813</v>
      </c>
      <c r="E149" s="21">
        <f>AVERAGE(E48:E145)</f>
        <v>1.0204123711340205</v>
      </c>
      <c r="F149" s="22">
        <f>AVERAGE(F48:F145)</f>
        <v>1.6320041046200842E-2</v>
      </c>
      <c r="G149" s="23">
        <f>AVERAGE(G48:G145)</f>
        <v>180.06185567010309</v>
      </c>
      <c r="H149" s="23">
        <f>AVERAGE(H48:H145)</f>
        <v>108.1340206185567</v>
      </c>
      <c r="I149" s="24" t="s">
        <v>3</v>
      </c>
    </row>
    <row r="150" spans="2:15" x14ac:dyDescent="0.25">
      <c r="B150" s="32" t="s">
        <v>20</v>
      </c>
      <c r="C150" s="32" t="s">
        <v>4</v>
      </c>
      <c r="D150" s="18">
        <f>MIN(D48:D145)</f>
        <v>517</v>
      </c>
      <c r="E150" s="16">
        <f>MIN(E48:E145)</f>
        <v>0.52</v>
      </c>
      <c r="F150" s="17">
        <f>MIN(F48:F145)</f>
        <v>8.2291666666666659E-3</v>
      </c>
      <c r="G150" s="15">
        <f>MIN(G48:G145)</f>
        <v>76</v>
      </c>
      <c r="H150" s="15">
        <f>MIN(H48:H145)</f>
        <v>91</v>
      </c>
      <c r="I150" s="25" t="s">
        <v>4</v>
      </c>
    </row>
    <row r="151" spans="2:15" ht="15.75" thickBot="1" x14ac:dyDescent="0.3">
      <c r="B151" s="26"/>
      <c r="C151" s="37" t="s">
        <v>5</v>
      </c>
      <c r="D151" s="27">
        <f>MAX(D48:D145)</f>
        <v>5737</v>
      </c>
      <c r="E151" s="28">
        <f>MAX(E48:E145)</f>
        <v>2.5</v>
      </c>
      <c r="F151" s="29">
        <f>MAX(F48:F145)</f>
        <v>3.7199074074074072E-2</v>
      </c>
      <c r="G151" s="30">
        <f>MAX(G48:G145)</f>
        <v>429</v>
      </c>
      <c r="H151" s="30">
        <f>MAX(H48:H145)</f>
        <v>121</v>
      </c>
      <c r="I151" s="31" t="s">
        <v>5</v>
      </c>
    </row>
    <row r="154" spans="2:15" x14ac:dyDescent="0.25">
      <c r="B154" t="s">
        <v>30</v>
      </c>
      <c r="F154" s="1"/>
    </row>
    <row r="155" spans="2:15" x14ac:dyDescent="0.25">
      <c r="B155" s="5" t="s">
        <v>0</v>
      </c>
      <c r="C155" s="5" t="s">
        <v>22</v>
      </c>
      <c r="D155" s="5" t="s">
        <v>9</v>
      </c>
      <c r="E155" s="11" t="s">
        <v>10</v>
      </c>
      <c r="F155" s="5" t="s">
        <v>11</v>
      </c>
      <c r="G155" s="11" t="s">
        <v>12</v>
      </c>
      <c r="H155" s="9" t="s">
        <v>13</v>
      </c>
      <c r="I155" s="44"/>
      <c r="J155" s="47"/>
      <c r="K155" s="47"/>
      <c r="L155" s="47"/>
    </row>
    <row r="156" spans="2:15" x14ac:dyDescent="0.25">
      <c r="B156" s="12">
        <v>44136</v>
      </c>
      <c r="C156" s="33">
        <v>1</v>
      </c>
      <c r="D156" s="3">
        <v>3254</v>
      </c>
      <c r="E156" s="2">
        <v>1.42</v>
      </c>
      <c r="F156" s="4">
        <v>2.2546296296296297E-2</v>
      </c>
      <c r="G156" s="2">
        <v>235</v>
      </c>
      <c r="H156" s="10">
        <v>98</v>
      </c>
      <c r="I156" s="44"/>
      <c r="J156" s="47"/>
      <c r="K156" s="47"/>
      <c r="L156" s="47"/>
    </row>
    <row r="157" spans="2:15" x14ac:dyDescent="0.25">
      <c r="B157" s="12">
        <v>44136</v>
      </c>
      <c r="C157" s="33">
        <v>2</v>
      </c>
      <c r="D157" s="3">
        <v>5420</v>
      </c>
      <c r="E157" s="2">
        <v>2.37</v>
      </c>
      <c r="F157" s="4">
        <v>3.5115740740740746E-2</v>
      </c>
      <c r="G157" s="2">
        <v>394</v>
      </c>
      <c r="H157" s="10">
        <v>106</v>
      </c>
      <c r="I157" s="44"/>
      <c r="J157" s="47"/>
      <c r="K157" s="47"/>
      <c r="L157" s="47"/>
      <c r="M157" s="47"/>
      <c r="N157" s="47"/>
      <c r="O157" s="47"/>
    </row>
    <row r="158" spans="2:15" x14ac:dyDescent="0.25">
      <c r="B158" s="12">
        <v>44137</v>
      </c>
      <c r="C158" s="33">
        <v>1</v>
      </c>
      <c r="D158" s="3">
        <v>1776</v>
      </c>
      <c r="E158" s="2">
        <v>0.78</v>
      </c>
      <c r="F158" s="4">
        <v>1.2083333333333333E-2</v>
      </c>
      <c r="G158" s="2">
        <v>141</v>
      </c>
      <c r="H158" s="10">
        <v>110</v>
      </c>
      <c r="I158" s="44"/>
      <c r="J158" s="47"/>
      <c r="K158" s="47"/>
      <c r="L158" s="47"/>
      <c r="M158" s="47"/>
      <c r="N158" s="47"/>
      <c r="O158" s="47"/>
    </row>
    <row r="159" spans="2:15" x14ac:dyDescent="0.25">
      <c r="B159" s="12">
        <v>44137</v>
      </c>
      <c r="C159" s="33">
        <v>2</v>
      </c>
      <c r="D159" s="3">
        <v>1584</v>
      </c>
      <c r="E159" s="2">
        <v>0.69</v>
      </c>
      <c r="F159" s="4">
        <v>1.1087962962962964E-2</v>
      </c>
      <c r="G159" s="2">
        <v>127</v>
      </c>
      <c r="H159" s="10">
        <v>111</v>
      </c>
      <c r="I159" s="44"/>
      <c r="J159" s="47"/>
      <c r="K159" s="47"/>
      <c r="L159" s="47"/>
      <c r="M159" s="47"/>
      <c r="N159" s="47"/>
      <c r="O159" s="47"/>
    </row>
    <row r="160" spans="2:15" x14ac:dyDescent="0.25">
      <c r="B160" s="12">
        <v>44137</v>
      </c>
      <c r="C160" s="33">
        <v>3</v>
      </c>
      <c r="D160" s="3">
        <v>3002</v>
      </c>
      <c r="E160" s="2">
        <v>1.32</v>
      </c>
      <c r="F160" s="4">
        <v>2.1134259259259259E-2</v>
      </c>
      <c r="G160" s="2">
        <v>242</v>
      </c>
      <c r="H160" s="10">
        <v>109</v>
      </c>
      <c r="I160" s="44"/>
      <c r="J160" s="47"/>
      <c r="K160" s="47"/>
      <c r="L160" s="47"/>
      <c r="M160" s="47"/>
      <c r="N160" s="47"/>
      <c r="O160" s="47"/>
    </row>
    <row r="161" spans="2:15" ht="15" customHeight="1" x14ac:dyDescent="0.25">
      <c r="B161" s="12">
        <v>44137</v>
      </c>
      <c r="C161" s="33">
        <v>4</v>
      </c>
      <c r="D161" s="3">
        <v>1381</v>
      </c>
      <c r="E161" s="2">
        <v>0.6</v>
      </c>
      <c r="F161" s="4">
        <v>9.9884259259259266E-3</v>
      </c>
      <c r="G161" s="2">
        <v>111</v>
      </c>
      <c r="H161" s="10">
        <v>108</v>
      </c>
      <c r="I161" s="44"/>
      <c r="J161" s="47"/>
      <c r="K161" s="47"/>
      <c r="L161" s="47"/>
      <c r="M161" s="47"/>
      <c r="N161" s="47"/>
      <c r="O161" s="47"/>
    </row>
    <row r="162" spans="2:15" ht="15.75" customHeight="1" x14ac:dyDescent="0.25">
      <c r="B162" s="12">
        <v>44138</v>
      </c>
      <c r="C162" s="33">
        <v>1</v>
      </c>
      <c r="D162" s="3">
        <v>1592</v>
      </c>
      <c r="E162" s="2">
        <v>0.7</v>
      </c>
      <c r="F162" s="4">
        <v>1.1203703703703704E-2</v>
      </c>
      <c r="G162" s="2">
        <v>113</v>
      </c>
      <c r="H162" s="10">
        <v>104</v>
      </c>
      <c r="I162" s="44"/>
      <c r="J162" s="47"/>
      <c r="K162" s="47"/>
      <c r="L162" s="47"/>
      <c r="M162" s="47"/>
      <c r="N162" s="47"/>
      <c r="O162" s="47"/>
    </row>
    <row r="163" spans="2:15" x14ac:dyDescent="0.25">
      <c r="B163" s="12">
        <v>44138</v>
      </c>
      <c r="C163" s="33">
        <v>2</v>
      </c>
      <c r="D163" s="3">
        <v>2513</v>
      </c>
      <c r="E163" s="2">
        <v>1.1000000000000001</v>
      </c>
      <c r="F163" s="4">
        <v>1.7662037037037035E-2</v>
      </c>
      <c r="G163" s="2">
        <v>199</v>
      </c>
      <c r="H163" s="10">
        <v>110</v>
      </c>
      <c r="I163" s="44"/>
      <c r="J163" s="47"/>
      <c r="K163" s="47"/>
      <c r="L163" s="47"/>
      <c r="M163" s="47"/>
      <c r="N163" s="47"/>
      <c r="O163" s="47"/>
    </row>
    <row r="164" spans="2:15" x14ac:dyDescent="0.25">
      <c r="B164" s="12">
        <v>44138</v>
      </c>
      <c r="C164" s="33">
        <v>3</v>
      </c>
      <c r="D164" s="3">
        <v>1633</v>
      </c>
      <c r="E164" s="2">
        <v>0.72</v>
      </c>
      <c r="F164" s="4">
        <v>1.1307870370370371E-2</v>
      </c>
      <c r="G164" s="2">
        <v>124</v>
      </c>
      <c r="H164" s="10">
        <v>109</v>
      </c>
      <c r="I164" s="44"/>
      <c r="J164" s="47"/>
      <c r="K164" s="47"/>
      <c r="L164" s="47"/>
      <c r="M164" s="47"/>
      <c r="N164" s="47"/>
      <c r="O164" s="47"/>
    </row>
    <row r="165" spans="2:15" x14ac:dyDescent="0.25">
      <c r="B165" s="12">
        <v>44139</v>
      </c>
      <c r="C165" s="33">
        <v>1</v>
      </c>
      <c r="D165" s="3">
        <v>2369</v>
      </c>
      <c r="E165" s="2">
        <v>1.04</v>
      </c>
      <c r="F165" s="4">
        <v>1.6030092592592592E-2</v>
      </c>
      <c r="G165" s="2">
        <v>184</v>
      </c>
      <c r="H165" s="10">
        <v>109</v>
      </c>
      <c r="I165" s="44"/>
      <c r="J165" s="47"/>
      <c r="K165" s="47"/>
      <c r="L165" s="48"/>
      <c r="M165" s="47"/>
      <c r="N165" s="45"/>
      <c r="O165" s="47"/>
    </row>
    <row r="166" spans="2:15" x14ac:dyDescent="0.25">
      <c r="B166" s="12">
        <v>44139</v>
      </c>
      <c r="C166" s="33">
        <v>2</v>
      </c>
      <c r="D166" s="3">
        <v>1640</v>
      </c>
      <c r="E166" s="2">
        <v>0.72</v>
      </c>
      <c r="F166" s="4">
        <v>1.1030092592592591E-2</v>
      </c>
      <c r="G166" s="2">
        <v>123</v>
      </c>
      <c r="H166" s="10">
        <v>105</v>
      </c>
      <c r="I166" s="44"/>
      <c r="J166" s="47"/>
      <c r="K166" s="47"/>
      <c r="L166" s="48"/>
      <c r="M166" s="47"/>
      <c r="N166" s="45"/>
      <c r="O166" s="47"/>
    </row>
    <row r="167" spans="2:15" x14ac:dyDescent="0.25">
      <c r="B167" s="12">
        <v>44139</v>
      </c>
      <c r="C167" s="33">
        <v>3</v>
      </c>
      <c r="D167" s="3">
        <v>3200</v>
      </c>
      <c r="E167" s="2">
        <v>1.4</v>
      </c>
      <c r="F167" s="4">
        <v>2.1597222222222223E-2</v>
      </c>
      <c r="G167" s="2">
        <v>248</v>
      </c>
      <c r="H167" s="10">
        <v>110</v>
      </c>
      <c r="I167" s="44"/>
      <c r="J167" s="47"/>
      <c r="K167" s="47"/>
      <c r="L167" s="48"/>
      <c r="M167" s="47"/>
      <c r="N167" s="49"/>
      <c r="O167" s="47"/>
    </row>
    <row r="168" spans="2:15" x14ac:dyDescent="0.25">
      <c r="B168" s="12">
        <v>44139</v>
      </c>
      <c r="C168" s="33">
        <v>4</v>
      </c>
      <c r="D168" s="3">
        <v>1437</v>
      </c>
      <c r="E168" s="2">
        <v>0.63</v>
      </c>
      <c r="F168" s="4">
        <v>1.0081018518518519E-2</v>
      </c>
      <c r="G168" s="2">
        <v>110</v>
      </c>
      <c r="H168" s="10">
        <v>110</v>
      </c>
      <c r="I168" s="44"/>
      <c r="J168" s="47"/>
      <c r="K168" s="47"/>
      <c r="L168" s="48"/>
      <c r="M168" s="47"/>
      <c r="N168" s="45"/>
      <c r="O168" s="47"/>
    </row>
    <row r="169" spans="2:15" x14ac:dyDescent="0.25">
      <c r="B169" s="12">
        <v>44140</v>
      </c>
      <c r="C169" s="33">
        <v>1</v>
      </c>
      <c r="D169" s="3">
        <v>2647</v>
      </c>
      <c r="E169" s="2">
        <v>1.1499999999999999</v>
      </c>
      <c r="F169" s="4">
        <v>1.7986111111111109E-2</v>
      </c>
      <c r="G169" s="2">
        <v>199</v>
      </c>
      <c r="H169" s="10">
        <v>110</v>
      </c>
      <c r="I169" s="44"/>
      <c r="J169" s="47"/>
      <c r="K169" s="47"/>
      <c r="L169" s="48"/>
      <c r="M169" s="47"/>
      <c r="N169" s="49"/>
      <c r="O169" s="47"/>
    </row>
    <row r="170" spans="2:15" x14ac:dyDescent="0.25">
      <c r="B170" s="12">
        <v>44140</v>
      </c>
      <c r="C170" s="33">
        <v>2</v>
      </c>
      <c r="D170" s="3">
        <v>1597</v>
      </c>
      <c r="E170" s="2">
        <v>0.7</v>
      </c>
      <c r="F170" s="4">
        <v>1.0902777777777777E-2</v>
      </c>
      <c r="G170" s="2">
        <v>118</v>
      </c>
      <c r="H170" s="10">
        <v>112</v>
      </c>
      <c r="I170" s="44"/>
      <c r="J170" s="47"/>
      <c r="K170" s="47"/>
      <c r="L170" s="48"/>
      <c r="M170" s="47"/>
      <c r="N170" s="45"/>
      <c r="O170" s="47"/>
    </row>
    <row r="171" spans="2:15" x14ac:dyDescent="0.25">
      <c r="B171" s="12">
        <v>44140</v>
      </c>
      <c r="C171" s="33">
        <v>3</v>
      </c>
      <c r="D171" s="3">
        <v>1974</v>
      </c>
      <c r="E171" s="2">
        <v>0.86</v>
      </c>
      <c r="F171" s="4">
        <v>1.3784722222222224E-2</v>
      </c>
      <c r="G171" s="2">
        <v>170</v>
      </c>
      <c r="H171" s="10">
        <v>118</v>
      </c>
      <c r="I171" s="44"/>
      <c r="J171" s="47"/>
      <c r="K171" s="47"/>
      <c r="L171" s="48"/>
      <c r="M171" s="47"/>
      <c r="N171" s="45"/>
      <c r="O171" s="47"/>
    </row>
    <row r="172" spans="2:15" x14ac:dyDescent="0.25">
      <c r="B172" s="12">
        <v>44140</v>
      </c>
      <c r="C172" s="33">
        <v>4</v>
      </c>
      <c r="D172" s="3">
        <v>1414</v>
      </c>
      <c r="E172" s="2">
        <v>0.62</v>
      </c>
      <c r="F172" s="4">
        <v>1.0081018518518519E-2</v>
      </c>
      <c r="G172" s="2">
        <v>108</v>
      </c>
      <c r="H172" s="10">
        <v>109</v>
      </c>
      <c r="I172" s="44"/>
      <c r="J172" s="47"/>
      <c r="K172" s="47"/>
      <c r="L172" s="48"/>
      <c r="M172" s="47"/>
      <c r="N172" s="45"/>
      <c r="O172" s="47"/>
    </row>
    <row r="173" spans="2:15" x14ac:dyDescent="0.25">
      <c r="B173" s="12"/>
      <c r="C173" s="33"/>
      <c r="D173" s="3"/>
      <c r="E173" s="2"/>
      <c r="F173" s="4"/>
      <c r="G173" s="2"/>
      <c r="H173" s="10"/>
      <c r="I173" s="45"/>
      <c r="J173" s="47"/>
      <c r="K173" s="47"/>
      <c r="L173" s="47"/>
      <c r="M173" s="47"/>
      <c r="N173" s="47"/>
      <c r="O173" s="47"/>
    </row>
    <row r="174" spans="2:15" x14ac:dyDescent="0.25">
      <c r="B174" s="12"/>
      <c r="C174" s="33"/>
      <c r="D174" s="3"/>
      <c r="E174" s="2"/>
      <c r="F174" s="4"/>
      <c r="G174" s="2"/>
      <c r="H174" s="10"/>
      <c r="I174" s="45"/>
      <c r="J174" s="47"/>
      <c r="K174" s="47"/>
      <c r="L174" s="47"/>
      <c r="M174" s="47"/>
      <c r="N174" s="47"/>
      <c r="O174" s="47"/>
    </row>
    <row r="175" spans="2:15" x14ac:dyDescent="0.25">
      <c r="B175" s="12"/>
      <c r="C175" s="33"/>
      <c r="D175" s="3"/>
      <c r="E175" s="2"/>
      <c r="F175" s="4"/>
      <c r="G175" s="2"/>
      <c r="H175" s="10"/>
      <c r="I175" s="45"/>
      <c r="J175" s="47"/>
      <c r="K175" s="47"/>
      <c r="L175" s="47"/>
      <c r="M175" s="47"/>
      <c r="N175" s="47"/>
      <c r="O175" s="47"/>
    </row>
    <row r="176" spans="2:15" x14ac:dyDescent="0.25">
      <c r="B176" s="12"/>
      <c r="C176" s="33"/>
      <c r="D176" s="3"/>
      <c r="E176" s="2"/>
      <c r="F176" s="4"/>
      <c r="G176" s="2"/>
      <c r="H176" s="10"/>
      <c r="I176" s="45"/>
      <c r="J176" s="47"/>
      <c r="K176" s="47"/>
      <c r="L176" s="47"/>
      <c r="M176" s="47"/>
      <c r="N176" s="47"/>
      <c r="O176" s="47"/>
    </row>
    <row r="177" spans="2:15" x14ac:dyDescent="0.25">
      <c r="B177" s="12"/>
      <c r="C177" s="33"/>
      <c r="D177" s="3"/>
      <c r="E177" s="2"/>
      <c r="F177" s="4"/>
      <c r="G177" s="2"/>
      <c r="H177" s="10"/>
      <c r="I177" s="45"/>
      <c r="J177" s="47"/>
      <c r="K177" s="47"/>
      <c r="L177" s="47"/>
      <c r="M177" s="47"/>
      <c r="N177" s="47"/>
      <c r="O177" s="47"/>
    </row>
    <row r="178" spans="2:15" x14ac:dyDescent="0.25">
      <c r="B178" s="12"/>
      <c r="C178" s="33"/>
      <c r="D178" s="3"/>
      <c r="E178" s="2"/>
      <c r="F178" s="4"/>
      <c r="G178" s="2"/>
      <c r="H178" s="10"/>
      <c r="I178" s="45"/>
      <c r="J178" s="47"/>
      <c r="K178" s="47"/>
      <c r="L178" s="47"/>
      <c r="M178" s="47"/>
      <c r="N178" s="47"/>
      <c r="O178" s="47"/>
    </row>
    <row r="179" spans="2:15" x14ac:dyDescent="0.25">
      <c r="B179" s="12"/>
      <c r="C179" s="33"/>
      <c r="D179" s="3"/>
      <c r="E179" s="2"/>
      <c r="F179" s="4"/>
      <c r="G179" s="2"/>
      <c r="H179" s="10"/>
      <c r="I179" s="45"/>
      <c r="J179" s="47"/>
      <c r="K179" s="47"/>
      <c r="L179" s="47"/>
      <c r="M179" s="47"/>
      <c r="N179" s="47"/>
      <c r="O179" s="47"/>
    </row>
    <row r="180" spans="2:15" x14ac:dyDescent="0.25">
      <c r="B180" s="12"/>
      <c r="C180" s="33"/>
      <c r="D180" s="3"/>
      <c r="E180" s="2"/>
      <c r="F180" s="4"/>
      <c r="G180" s="2"/>
      <c r="H180" s="10"/>
      <c r="I180" s="45"/>
      <c r="J180" s="47"/>
      <c r="K180" s="47"/>
      <c r="L180" s="47"/>
      <c r="M180" s="47"/>
      <c r="N180" s="47"/>
      <c r="O180" s="47"/>
    </row>
    <row r="181" spans="2:15" x14ac:dyDescent="0.25">
      <c r="B181" s="12"/>
      <c r="C181" s="33"/>
      <c r="D181" s="3"/>
      <c r="E181" s="2"/>
      <c r="F181" s="4"/>
      <c r="G181" s="2"/>
      <c r="H181" s="10"/>
      <c r="I181" s="45"/>
      <c r="J181" s="47"/>
      <c r="K181" s="47"/>
      <c r="L181" s="47"/>
      <c r="M181" s="47"/>
      <c r="N181" s="47"/>
      <c r="O181" s="47"/>
    </row>
    <row r="182" spans="2:15" x14ac:dyDescent="0.25">
      <c r="B182" s="12"/>
      <c r="C182" s="33"/>
      <c r="D182" s="3"/>
      <c r="E182" s="2"/>
      <c r="F182" s="4"/>
      <c r="G182" s="2"/>
      <c r="H182" s="10"/>
      <c r="I182" s="14"/>
      <c r="L182" s="47"/>
      <c r="M182" s="47"/>
      <c r="N182" s="47"/>
      <c r="O182" s="47"/>
    </row>
    <row r="183" spans="2:15" x14ac:dyDescent="0.25">
      <c r="B183" s="12"/>
      <c r="C183" s="33"/>
      <c r="D183" s="3"/>
      <c r="E183" s="2"/>
      <c r="F183" s="4"/>
      <c r="G183" s="2"/>
      <c r="H183" s="10"/>
      <c r="I183" s="14"/>
      <c r="L183" s="47"/>
      <c r="M183" s="47"/>
      <c r="N183" s="47"/>
      <c r="O183" s="47"/>
    </row>
    <row r="184" spans="2:15" x14ac:dyDescent="0.25">
      <c r="B184" s="12"/>
      <c r="C184" s="33"/>
      <c r="D184" s="3"/>
      <c r="E184" s="2"/>
      <c r="F184" s="4"/>
      <c r="G184" s="2"/>
      <c r="H184" s="10"/>
      <c r="I184" s="14"/>
      <c r="L184" s="47"/>
      <c r="M184" s="47"/>
      <c r="N184" s="47"/>
      <c r="O184" s="47"/>
    </row>
    <row r="185" spans="2:15" x14ac:dyDescent="0.25">
      <c r="B185" s="5" t="s">
        <v>15</v>
      </c>
      <c r="C185" s="5"/>
      <c r="D185" s="5" t="s">
        <v>1</v>
      </c>
      <c r="E185" s="5" t="s">
        <v>7</v>
      </c>
      <c r="F185" s="5" t="s">
        <v>6</v>
      </c>
      <c r="G185" s="11" t="s">
        <v>8</v>
      </c>
      <c r="H185" s="9" t="s">
        <v>2</v>
      </c>
      <c r="L185" s="47"/>
      <c r="M185" s="47"/>
      <c r="N185" s="47"/>
      <c r="O185" s="47"/>
    </row>
    <row r="186" spans="2:15" x14ac:dyDescent="0.25">
      <c r="B186" s="13">
        <f>COUNT(B156:B184)</f>
        <v>17</v>
      </c>
      <c r="D186" s="8">
        <f>SUM(D156:D184)</f>
        <v>38433</v>
      </c>
      <c r="E186" s="6">
        <f>SUM(E156:E184)</f>
        <v>16.820000000000004</v>
      </c>
      <c r="F186" s="38">
        <f>SUM(F156:F184)</f>
        <v>0.26362268518518522</v>
      </c>
      <c r="G186" s="6">
        <f>SUM(G156:G184)</f>
        <v>2946</v>
      </c>
      <c r="I186" s="6" t="s">
        <v>19</v>
      </c>
      <c r="L186" s="47"/>
      <c r="M186" s="47"/>
      <c r="N186" s="47"/>
      <c r="O186" s="47"/>
    </row>
    <row r="187" spans="2:15" ht="15.75" thickBot="1" x14ac:dyDescent="0.3">
      <c r="B187" s="13">
        <f>COUNT(_xlfn.UNIQUE(B156:B184))</f>
        <v>5</v>
      </c>
      <c r="C187" s="35" t="s">
        <v>23</v>
      </c>
      <c r="D187" s="8"/>
      <c r="E187" s="6"/>
      <c r="F187" s="7"/>
      <c r="G187" s="6"/>
      <c r="I187" s="6"/>
      <c r="L187" s="47"/>
      <c r="M187" s="47"/>
      <c r="N187" s="47"/>
      <c r="O187" s="47"/>
    </row>
    <row r="188" spans="2:15" x14ac:dyDescent="0.25">
      <c r="B188" s="19"/>
      <c r="C188" s="36" t="s">
        <v>3</v>
      </c>
      <c r="D188" s="20">
        <f>AVERAGE(D156:D184)</f>
        <v>2260.7647058823532</v>
      </c>
      <c r="E188" s="21">
        <f t="shared" ref="E188:H188" si="3">AVERAGE(E156:E184)</f>
        <v>0.98941176470588255</v>
      </c>
      <c r="F188" s="22">
        <f t="shared" si="3"/>
        <v>1.5507216775599131E-2</v>
      </c>
      <c r="G188" s="23">
        <f t="shared" si="3"/>
        <v>173.29411764705881</v>
      </c>
      <c r="H188" s="23">
        <f t="shared" si="3"/>
        <v>108.70588235294117</v>
      </c>
      <c r="I188" s="24" t="s">
        <v>3</v>
      </c>
      <c r="L188" s="47"/>
      <c r="M188" s="47"/>
      <c r="N188" s="47"/>
      <c r="O188" s="47"/>
    </row>
    <row r="189" spans="2:15" x14ac:dyDescent="0.25">
      <c r="B189" s="32" t="s">
        <v>20</v>
      </c>
      <c r="C189" s="32" t="s">
        <v>4</v>
      </c>
      <c r="D189" s="18">
        <f>MIN(D156:D184)</f>
        <v>1381</v>
      </c>
      <c r="E189" s="16">
        <f t="shared" ref="E189:H189" si="4">MIN(E156:E184)</f>
        <v>0.6</v>
      </c>
      <c r="F189" s="17">
        <f t="shared" si="4"/>
        <v>9.9884259259259266E-3</v>
      </c>
      <c r="G189" s="15">
        <f t="shared" si="4"/>
        <v>108</v>
      </c>
      <c r="H189" s="15">
        <f t="shared" si="4"/>
        <v>98</v>
      </c>
      <c r="I189" s="25" t="s">
        <v>4</v>
      </c>
    </row>
    <row r="190" spans="2:15" ht="15.75" thickBot="1" x14ac:dyDescent="0.3">
      <c r="B190" s="26"/>
      <c r="C190" s="37" t="s">
        <v>5</v>
      </c>
      <c r="D190" s="27">
        <f>MAX(D156:D184)</f>
        <v>5420</v>
      </c>
      <c r="E190" s="28">
        <f t="shared" ref="E190:H190" si="5">MAX(E156:E184)</f>
        <v>2.37</v>
      </c>
      <c r="F190" s="29">
        <f t="shared" si="5"/>
        <v>3.5115740740740746E-2</v>
      </c>
      <c r="G190" s="30">
        <f t="shared" si="5"/>
        <v>394</v>
      </c>
      <c r="H190" s="30">
        <f t="shared" si="5"/>
        <v>118</v>
      </c>
      <c r="I190" s="31" t="s">
        <v>5</v>
      </c>
    </row>
  </sheetData>
  <sortState xmlns:xlrd2="http://schemas.microsoft.com/office/spreadsheetml/2017/richdata2" ref="I169:O172">
    <sortCondition descending="1" ref="I169:I17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Cals">
                <anchor moveWithCells="1" sizeWithCells="1">
                  <from>
                    <xdr:col>9</xdr:col>
                    <xdr:colOff>857250</xdr:colOff>
                    <xdr:row>0</xdr:row>
                    <xdr:rowOff>28575</xdr:rowOff>
                  </from>
                  <to>
                    <xdr:col>12</xdr:col>
                    <xdr:colOff>19050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CCBDD-A396-444C-A6BC-ACF352CD46BB}">
  <dimension ref="A1:G11"/>
  <sheetViews>
    <sheetView workbookViewId="0">
      <selection activeCell="I4" sqref="I4"/>
    </sheetView>
  </sheetViews>
  <sheetFormatPr defaultRowHeight="15" x14ac:dyDescent="0.25"/>
  <cols>
    <col min="1" max="7" width="12.85546875" customWidth="1"/>
  </cols>
  <sheetData>
    <row r="1" spans="1:7" x14ac:dyDescent="0.25">
      <c r="A1" s="55" t="s">
        <v>0</v>
      </c>
      <c r="B1" s="55" t="s">
        <v>22</v>
      </c>
      <c r="C1" s="55" t="s">
        <v>9</v>
      </c>
      <c r="D1" s="56" t="s">
        <v>10</v>
      </c>
      <c r="E1" s="55" t="s">
        <v>11</v>
      </c>
      <c r="F1" s="56" t="s">
        <v>12</v>
      </c>
      <c r="G1" s="57" t="s">
        <v>13</v>
      </c>
    </row>
    <row r="2" spans="1:7" ht="30" customHeight="1" x14ac:dyDescent="0.25">
      <c r="A2" s="12"/>
      <c r="B2" s="33"/>
      <c r="C2" s="3"/>
      <c r="D2" s="2"/>
      <c r="E2" s="4"/>
      <c r="F2" s="2"/>
      <c r="G2" s="2"/>
    </row>
    <row r="3" spans="1:7" ht="30" customHeight="1" x14ac:dyDescent="0.25">
      <c r="A3" s="12"/>
      <c r="B3" s="33"/>
      <c r="C3" s="3"/>
      <c r="D3" s="2"/>
      <c r="E3" s="4"/>
      <c r="F3" s="2"/>
      <c r="G3" s="2"/>
    </row>
    <row r="4" spans="1:7" ht="30" customHeight="1" x14ac:dyDescent="0.25">
      <c r="A4" s="12"/>
      <c r="B4" s="33"/>
      <c r="C4" s="3"/>
      <c r="D4" s="2"/>
      <c r="E4" s="4"/>
      <c r="F4" s="2"/>
      <c r="G4" s="2"/>
    </row>
    <row r="5" spans="1:7" ht="30" customHeight="1" x14ac:dyDescent="0.25">
      <c r="A5" s="12"/>
      <c r="B5" s="33"/>
      <c r="C5" s="3"/>
      <c r="D5" s="2"/>
      <c r="E5" s="4"/>
      <c r="F5" s="2"/>
      <c r="G5" s="2"/>
    </row>
    <row r="6" spans="1:7" ht="30" customHeight="1" x14ac:dyDescent="0.25">
      <c r="A6" s="12"/>
      <c r="B6" s="33"/>
      <c r="C6" s="3"/>
      <c r="D6" s="2"/>
      <c r="E6" s="4"/>
      <c r="F6" s="2"/>
      <c r="G6" s="2"/>
    </row>
    <row r="7" spans="1:7" ht="30" customHeight="1" x14ac:dyDescent="0.25">
      <c r="A7" s="12"/>
      <c r="B7" s="33"/>
      <c r="C7" s="3"/>
      <c r="D7" s="2"/>
      <c r="E7" s="4"/>
      <c r="F7" s="2"/>
      <c r="G7" s="2"/>
    </row>
    <row r="8" spans="1:7" ht="30" customHeight="1" x14ac:dyDescent="0.25">
      <c r="A8" s="12"/>
      <c r="B8" s="33"/>
      <c r="C8" s="3"/>
      <c r="D8" s="2"/>
      <c r="E8" s="4"/>
      <c r="F8" s="2"/>
      <c r="G8" s="2"/>
    </row>
    <row r="9" spans="1:7" ht="30" customHeight="1" x14ac:dyDescent="0.25">
      <c r="A9" s="12"/>
      <c r="B9" s="33"/>
      <c r="C9" s="3"/>
      <c r="D9" s="2"/>
      <c r="E9" s="4"/>
      <c r="F9" s="2"/>
      <c r="G9" s="2"/>
    </row>
    <row r="10" spans="1:7" ht="30" customHeight="1" x14ac:dyDescent="0.25">
      <c r="A10" s="12"/>
      <c r="B10" s="33"/>
      <c r="C10" s="3"/>
      <c r="D10" s="2"/>
      <c r="E10" s="4"/>
      <c r="F10" s="2"/>
      <c r="G10" s="2"/>
    </row>
    <row r="11" spans="1:7" ht="30" customHeight="1" x14ac:dyDescent="0.25">
      <c r="A11" s="12"/>
      <c r="B11" s="33"/>
      <c r="C11" s="3"/>
      <c r="D11" s="2"/>
      <c r="E11" s="4"/>
      <c r="F11" s="2"/>
      <c r="G1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1FB16-088F-4A23-A4BB-08A07C8DF980}">
  <sheetPr codeName="Sheet2"/>
  <dimension ref="A1:L93"/>
  <sheetViews>
    <sheetView topLeftCell="E1" workbookViewId="0">
      <selection activeCell="K27" sqref="K27"/>
    </sheetView>
  </sheetViews>
  <sheetFormatPr defaultRowHeight="15" x14ac:dyDescent="0.25"/>
  <cols>
    <col min="2" max="2" width="15.42578125" bestFit="1" customWidth="1"/>
    <col min="3" max="3" width="9.28515625" bestFit="1" customWidth="1"/>
    <col min="4" max="4" width="5.85546875" bestFit="1" customWidth="1"/>
    <col min="5" max="5" width="9.85546875" bestFit="1" customWidth="1"/>
    <col min="6" max="6" width="8.7109375" bestFit="1" customWidth="1"/>
    <col min="7" max="7" width="8.140625" bestFit="1" customWidth="1"/>
    <col min="9" max="9" width="13.140625" bestFit="1" customWidth="1"/>
    <col min="10" max="10" width="13.7109375" bestFit="1" customWidth="1"/>
    <col min="11" max="11" width="13.85546875" bestFit="1" customWidth="1"/>
    <col min="12" max="12" width="16.140625" style="43" bestFit="1" customWidth="1"/>
  </cols>
  <sheetData>
    <row r="1" spans="1:12" x14ac:dyDescent="0.25">
      <c r="A1" s="5" t="s">
        <v>0</v>
      </c>
      <c r="B1" s="5" t="s">
        <v>22</v>
      </c>
      <c r="C1" s="5" t="s">
        <v>9</v>
      </c>
      <c r="D1" s="11" t="s">
        <v>10</v>
      </c>
      <c r="E1" s="5" t="s">
        <v>11</v>
      </c>
      <c r="F1" s="11" t="s">
        <v>12</v>
      </c>
      <c r="G1" s="9" t="s">
        <v>13</v>
      </c>
      <c r="I1" s="40" t="s">
        <v>25</v>
      </c>
      <c r="J1" t="s">
        <v>27</v>
      </c>
      <c r="K1" t="s">
        <v>28</v>
      </c>
      <c r="L1" s="43" t="s">
        <v>29</v>
      </c>
    </row>
    <row r="2" spans="1:12" x14ac:dyDescent="0.25">
      <c r="A2" s="12">
        <v>44105</v>
      </c>
      <c r="B2" s="33">
        <v>1</v>
      </c>
      <c r="C2" s="3">
        <v>1274</v>
      </c>
      <c r="D2" s="2">
        <v>0.55000000000000004</v>
      </c>
      <c r="E2" s="4">
        <v>9.0856481481481483E-3</v>
      </c>
      <c r="F2" s="2">
        <v>102</v>
      </c>
      <c r="G2" s="10">
        <v>111</v>
      </c>
      <c r="I2" s="41">
        <v>44105</v>
      </c>
      <c r="J2" s="42">
        <v>6668</v>
      </c>
      <c r="K2" s="42">
        <v>2.91</v>
      </c>
      <c r="L2" s="43">
        <v>111</v>
      </c>
    </row>
    <row r="3" spans="1:12" x14ac:dyDescent="0.25">
      <c r="A3" s="12">
        <v>44105</v>
      </c>
      <c r="B3" s="33">
        <v>2</v>
      </c>
      <c r="C3" s="3">
        <v>1732</v>
      </c>
      <c r="D3" s="2">
        <v>0.76</v>
      </c>
      <c r="E3" s="4">
        <v>1.1631944444444445E-2</v>
      </c>
      <c r="F3" s="2">
        <v>131</v>
      </c>
      <c r="G3" s="10">
        <v>110</v>
      </c>
      <c r="I3" s="41">
        <v>44106</v>
      </c>
      <c r="J3" s="42">
        <v>7415</v>
      </c>
      <c r="K3" s="42">
        <v>3.29</v>
      </c>
      <c r="L3" s="43">
        <v>105.25</v>
      </c>
    </row>
    <row r="4" spans="1:12" x14ac:dyDescent="0.25">
      <c r="A4" s="12">
        <v>44105</v>
      </c>
      <c r="B4" s="33">
        <v>3</v>
      </c>
      <c r="C4" s="3">
        <v>1904</v>
      </c>
      <c r="D4" s="2">
        <v>0.83</v>
      </c>
      <c r="E4" s="4">
        <v>1.3090277777777779E-2</v>
      </c>
      <c r="F4" s="2">
        <v>146</v>
      </c>
      <c r="G4" s="10">
        <v>108</v>
      </c>
      <c r="I4" s="41">
        <v>44107</v>
      </c>
      <c r="J4" s="42">
        <v>5737</v>
      </c>
      <c r="K4" s="42">
        <v>2.5</v>
      </c>
      <c r="L4" s="43">
        <v>110</v>
      </c>
    </row>
    <row r="5" spans="1:12" x14ac:dyDescent="0.25">
      <c r="A5" s="12">
        <v>44105</v>
      </c>
      <c r="B5" s="33">
        <v>4</v>
      </c>
      <c r="C5" s="3">
        <v>1758</v>
      </c>
      <c r="D5" s="2">
        <v>0.77</v>
      </c>
      <c r="E5" s="4">
        <v>1.2488425925925925E-2</v>
      </c>
      <c r="F5" s="2">
        <v>139</v>
      </c>
      <c r="G5" s="10">
        <v>115</v>
      </c>
      <c r="I5" s="41">
        <v>44108</v>
      </c>
      <c r="J5" s="42">
        <v>3215</v>
      </c>
      <c r="K5" s="42">
        <v>1.41</v>
      </c>
      <c r="L5" s="43">
        <v>121</v>
      </c>
    </row>
    <row r="6" spans="1:12" x14ac:dyDescent="0.25">
      <c r="A6" s="12">
        <v>44106</v>
      </c>
      <c r="B6" s="33">
        <v>1</v>
      </c>
      <c r="C6" s="3">
        <v>1201</v>
      </c>
      <c r="D6" s="2">
        <v>0.52</v>
      </c>
      <c r="E6" s="4">
        <v>8.2291666666666659E-3</v>
      </c>
      <c r="F6" s="2">
        <v>95</v>
      </c>
      <c r="G6" s="10">
        <v>111</v>
      </c>
      <c r="I6" s="41">
        <v>44109</v>
      </c>
      <c r="J6" s="42">
        <v>7150</v>
      </c>
      <c r="K6" s="42">
        <v>3.13</v>
      </c>
      <c r="L6" s="43">
        <v>114.5</v>
      </c>
    </row>
    <row r="7" spans="1:12" x14ac:dyDescent="0.25">
      <c r="A7" s="12">
        <v>44106</v>
      </c>
      <c r="B7" s="33">
        <v>2</v>
      </c>
      <c r="C7" s="3">
        <v>1738</v>
      </c>
      <c r="D7" s="2">
        <v>0.76</v>
      </c>
      <c r="E7" s="4">
        <v>1.1759259259259259E-2</v>
      </c>
      <c r="F7" s="2">
        <v>120</v>
      </c>
      <c r="G7" s="10">
        <v>104</v>
      </c>
      <c r="I7" s="41">
        <v>44110</v>
      </c>
      <c r="J7" s="42">
        <v>6753</v>
      </c>
      <c r="K7" s="42">
        <v>2.9499999999999997</v>
      </c>
      <c r="L7" s="43">
        <v>111.25</v>
      </c>
    </row>
    <row r="8" spans="1:12" x14ac:dyDescent="0.25">
      <c r="A8" s="12">
        <v>44106</v>
      </c>
      <c r="B8" s="33">
        <v>3</v>
      </c>
      <c r="C8" s="3">
        <v>3149</v>
      </c>
      <c r="D8" s="2">
        <v>1.38</v>
      </c>
      <c r="E8" s="4">
        <v>2.1701388888888892E-2</v>
      </c>
      <c r="F8" s="2">
        <v>248</v>
      </c>
      <c r="G8" s="10">
        <v>115</v>
      </c>
      <c r="I8" s="41">
        <v>44111</v>
      </c>
      <c r="J8" s="42">
        <v>7768</v>
      </c>
      <c r="K8" s="42">
        <v>3.4000000000000004</v>
      </c>
      <c r="L8" s="43">
        <v>110</v>
      </c>
    </row>
    <row r="9" spans="1:12" x14ac:dyDescent="0.25">
      <c r="A9" s="12">
        <v>44106</v>
      </c>
      <c r="B9" s="33">
        <v>4</v>
      </c>
      <c r="C9" s="3">
        <v>1327</v>
      </c>
      <c r="D9" s="2">
        <v>0.63</v>
      </c>
      <c r="E9" s="4">
        <v>9.8032407407407408E-3</v>
      </c>
      <c r="F9" s="2">
        <v>76</v>
      </c>
      <c r="G9" s="10">
        <v>91</v>
      </c>
      <c r="I9" s="41">
        <v>44112</v>
      </c>
      <c r="J9" s="42">
        <v>12626</v>
      </c>
      <c r="K9" s="42">
        <v>5.37</v>
      </c>
      <c r="L9" s="43">
        <v>106.6</v>
      </c>
    </row>
    <row r="10" spans="1:12" x14ac:dyDescent="0.25">
      <c r="A10" s="12">
        <v>44107</v>
      </c>
      <c r="B10" s="33">
        <v>1</v>
      </c>
      <c r="C10" s="3">
        <v>5737</v>
      </c>
      <c r="D10" s="2">
        <v>2.5</v>
      </c>
      <c r="E10" s="4">
        <v>3.7199074074074072E-2</v>
      </c>
      <c r="F10" s="2">
        <v>427</v>
      </c>
      <c r="G10" s="10">
        <v>110</v>
      </c>
      <c r="I10" s="41">
        <v>44113</v>
      </c>
      <c r="J10" s="42">
        <v>7796</v>
      </c>
      <c r="K10" s="42">
        <v>3.42</v>
      </c>
      <c r="L10" s="43">
        <v>108.75</v>
      </c>
    </row>
    <row r="11" spans="1:12" x14ac:dyDescent="0.25">
      <c r="A11" s="12">
        <v>44108</v>
      </c>
      <c r="B11" s="33">
        <v>1</v>
      </c>
      <c r="C11" s="3">
        <v>3215</v>
      </c>
      <c r="D11" s="2">
        <v>1.41</v>
      </c>
      <c r="E11" s="4">
        <v>2.1319444444444443E-2</v>
      </c>
      <c r="F11" s="2">
        <v>264</v>
      </c>
      <c r="G11" s="10">
        <v>121</v>
      </c>
      <c r="I11" s="41">
        <v>44114</v>
      </c>
      <c r="J11" s="42">
        <v>517</v>
      </c>
      <c r="K11" s="42">
        <v>2.2599999999999998</v>
      </c>
      <c r="L11" s="43">
        <v>111</v>
      </c>
    </row>
    <row r="12" spans="1:12" x14ac:dyDescent="0.25">
      <c r="A12" s="12">
        <v>44109</v>
      </c>
      <c r="B12" s="33">
        <v>1</v>
      </c>
      <c r="C12" s="3">
        <v>1695</v>
      </c>
      <c r="D12" s="2">
        <v>0.75</v>
      </c>
      <c r="E12" s="4">
        <v>1.1666666666666667E-2</v>
      </c>
      <c r="F12" s="2">
        <v>128</v>
      </c>
      <c r="G12" s="10">
        <v>109</v>
      </c>
      <c r="I12" s="41">
        <v>44115</v>
      </c>
      <c r="J12" s="42">
        <v>5397</v>
      </c>
      <c r="K12" s="42">
        <v>2.4</v>
      </c>
      <c r="L12" s="43">
        <v>110</v>
      </c>
    </row>
    <row r="13" spans="1:12" x14ac:dyDescent="0.25">
      <c r="A13" s="12">
        <v>44109</v>
      </c>
      <c r="B13" s="33">
        <v>2</v>
      </c>
      <c r="C13" s="3">
        <v>1425</v>
      </c>
      <c r="D13" s="2">
        <v>0.62</v>
      </c>
      <c r="E13" s="4">
        <v>1.0300925925925927E-2</v>
      </c>
      <c r="F13" s="2">
        <v>108</v>
      </c>
      <c r="G13" s="10">
        <v>115</v>
      </c>
      <c r="I13" s="41">
        <v>44117</v>
      </c>
      <c r="J13" s="42">
        <v>7762</v>
      </c>
      <c r="K13" s="42">
        <v>3.38</v>
      </c>
      <c r="L13" s="43">
        <v>106</v>
      </c>
    </row>
    <row r="14" spans="1:12" x14ac:dyDescent="0.25">
      <c r="A14" s="12">
        <v>44109</v>
      </c>
      <c r="B14" s="33">
        <v>3</v>
      </c>
      <c r="C14" s="3">
        <v>2595</v>
      </c>
      <c r="D14" s="2">
        <v>1.1299999999999999</v>
      </c>
      <c r="E14" s="4">
        <v>1.8819444444444448E-2</v>
      </c>
      <c r="F14" s="2">
        <v>209</v>
      </c>
      <c r="G14" s="10">
        <v>115</v>
      </c>
      <c r="I14" s="41">
        <v>44118</v>
      </c>
      <c r="J14" s="42">
        <v>7704</v>
      </c>
      <c r="K14" s="42">
        <v>3.38</v>
      </c>
      <c r="L14" s="43">
        <v>108.25</v>
      </c>
    </row>
    <row r="15" spans="1:12" x14ac:dyDescent="0.25">
      <c r="A15" s="12">
        <v>44109</v>
      </c>
      <c r="B15" s="33">
        <v>4</v>
      </c>
      <c r="C15" s="3">
        <v>1435</v>
      </c>
      <c r="D15" s="2">
        <v>0.63</v>
      </c>
      <c r="E15" s="4">
        <v>1.0416666666666666E-2</v>
      </c>
      <c r="F15" s="2">
        <v>114</v>
      </c>
      <c r="G15" s="10">
        <v>119</v>
      </c>
      <c r="I15" s="41">
        <v>44119</v>
      </c>
      <c r="J15" s="42">
        <v>8349</v>
      </c>
      <c r="K15" s="42">
        <v>3.66</v>
      </c>
      <c r="L15" s="43">
        <v>108.25</v>
      </c>
    </row>
    <row r="16" spans="1:12" x14ac:dyDescent="0.25">
      <c r="A16" s="12">
        <v>44110</v>
      </c>
      <c r="B16" s="33">
        <v>1</v>
      </c>
      <c r="C16" s="3">
        <v>1228</v>
      </c>
      <c r="D16" s="2">
        <v>0.53</v>
      </c>
      <c r="E16" s="4">
        <v>8.9236111111111113E-3</v>
      </c>
      <c r="F16" s="2">
        <v>89</v>
      </c>
      <c r="G16" s="10">
        <v>109</v>
      </c>
      <c r="I16" s="41">
        <v>44120</v>
      </c>
      <c r="J16" s="42">
        <v>7651</v>
      </c>
      <c r="K16" s="42">
        <v>3.36</v>
      </c>
      <c r="L16" s="43">
        <v>107.75</v>
      </c>
    </row>
    <row r="17" spans="1:12" x14ac:dyDescent="0.25">
      <c r="A17" s="12">
        <v>44110</v>
      </c>
      <c r="B17" s="33">
        <v>2</v>
      </c>
      <c r="C17" s="3">
        <v>1424</v>
      </c>
      <c r="D17" s="2">
        <v>0.62</v>
      </c>
      <c r="E17" s="4">
        <v>1.0833333333333334E-2</v>
      </c>
      <c r="F17" s="2">
        <v>112</v>
      </c>
      <c r="G17" s="10">
        <v>106</v>
      </c>
      <c r="I17" s="41">
        <v>44121</v>
      </c>
      <c r="J17" s="42">
        <v>5086</v>
      </c>
      <c r="K17" s="42">
        <v>2.25</v>
      </c>
      <c r="L17" s="43">
        <v>113</v>
      </c>
    </row>
    <row r="18" spans="1:12" x14ac:dyDescent="0.25">
      <c r="A18" s="12">
        <v>44110</v>
      </c>
      <c r="B18" s="33">
        <v>3</v>
      </c>
      <c r="C18" s="3">
        <v>2632</v>
      </c>
      <c r="D18" s="2">
        <v>1.1499999999999999</v>
      </c>
      <c r="E18" s="4">
        <v>1.9375E-2</v>
      </c>
      <c r="F18" s="2">
        <v>211</v>
      </c>
      <c r="G18" s="10">
        <v>112</v>
      </c>
      <c r="I18" s="41">
        <v>44122</v>
      </c>
      <c r="J18" s="42">
        <v>8178</v>
      </c>
      <c r="K18" s="42">
        <v>3.58</v>
      </c>
      <c r="L18" s="43">
        <v>102.5</v>
      </c>
    </row>
    <row r="19" spans="1:12" x14ac:dyDescent="0.25">
      <c r="A19" s="12">
        <v>44110</v>
      </c>
      <c r="B19" s="33">
        <v>4</v>
      </c>
      <c r="C19" s="3">
        <v>1469</v>
      </c>
      <c r="D19" s="2">
        <v>0.65</v>
      </c>
      <c r="E19" s="4">
        <v>1.0567129629629629E-2</v>
      </c>
      <c r="F19" s="2">
        <v>114</v>
      </c>
      <c r="G19" s="10">
        <v>118</v>
      </c>
      <c r="I19" s="41">
        <v>44123</v>
      </c>
      <c r="J19" s="42">
        <v>7451</v>
      </c>
      <c r="K19" s="42">
        <v>3.27</v>
      </c>
      <c r="L19" s="43">
        <v>106.25</v>
      </c>
    </row>
    <row r="20" spans="1:12" x14ac:dyDescent="0.25">
      <c r="A20" s="12">
        <v>44111</v>
      </c>
      <c r="B20" s="33">
        <v>1</v>
      </c>
      <c r="C20" s="3">
        <v>1415</v>
      </c>
      <c r="D20" s="2">
        <v>0.62</v>
      </c>
      <c r="E20" s="4">
        <v>1.0208333333333333E-2</v>
      </c>
      <c r="F20" s="2">
        <v>111</v>
      </c>
      <c r="G20" s="10">
        <v>109</v>
      </c>
      <c r="I20" s="41">
        <v>44124</v>
      </c>
      <c r="J20" s="42">
        <v>8068</v>
      </c>
      <c r="K20" s="42">
        <v>3.54</v>
      </c>
      <c r="L20" s="43">
        <v>104.75</v>
      </c>
    </row>
    <row r="21" spans="1:12" x14ac:dyDescent="0.25">
      <c r="A21" s="12">
        <v>44111</v>
      </c>
      <c r="B21" s="33">
        <v>2</v>
      </c>
      <c r="C21" s="3">
        <v>1622</v>
      </c>
      <c r="D21" s="2">
        <v>0.71</v>
      </c>
      <c r="E21" s="4">
        <v>1.1087962962962964E-2</v>
      </c>
      <c r="F21" s="2">
        <v>113</v>
      </c>
      <c r="G21" s="10">
        <v>106</v>
      </c>
      <c r="I21" s="41">
        <v>44125</v>
      </c>
      <c r="J21" s="42">
        <v>8754</v>
      </c>
      <c r="K21" s="42">
        <v>3.84</v>
      </c>
      <c r="L21" s="43">
        <v>107.25</v>
      </c>
    </row>
    <row r="22" spans="1:12" x14ac:dyDescent="0.25">
      <c r="A22" s="12">
        <v>44111</v>
      </c>
      <c r="B22" s="33">
        <v>3</v>
      </c>
      <c r="C22" s="3">
        <v>3091</v>
      </c>
      <c r="D22" s="2">
        <v>1.35</v>
      </c>
      <c r="E22" s="4">
        <v>2.1759259259259259E-2</v>
      </c>
      <c r="F22" s="2">
        <v>235</v>
      </c>
      <c r="G22" s="10">
        <v>110</v>
      </c>
      <c r="I22" s="41">
        <v>44126</v>
      </c>
      <c r="J22" s="42">
        <v>9121</v>
      </c>
      <c r="K22" s="42">
        <v>3.9799999999999995</v>
      </c>
      <c r="L22" s="43">
        <v>106.25</v>
      </c>
    </row>
    <row r="23" spans="1:12" x14ac:dyDescent="0.25">
      <c r="A23" s="12">
        <v>44111</v>
      </c>
      <c r="B23" s="33">
        <v>4</v>
      </c>
      <c r="C23" s="3">
        <v>1640</v>
      </c>
      <c r="D23" s="2">
        <v>0.72</v>
      </c>
      <c r="E23" s="4">
        <v>1.1724537037037035E-2</v>
      </c>
      <c r="F23" s="2">
        <v>127</v>
      </c>
      <c r="G23" s="10">
        <v>115</v>
      </c>
      <c r="I23" s="41">
        <v>44127</v>
      </c>
      <c r="J23" s="42">
        <v>7758</v>
      </c>
      <c r="K23" s="42">
        <v>3.38</v>
      </c>
      <c r="L23" s="43">
        <v>104.25</v>
      </c>
    </row>
    <row r="24" spans="1:12" x14ac:dyDescent="0.25">
      <c r="A24" s="12">
        <v>44112</v>
      </c>
      <c r="B24" s="33">
        <v>1</v>
      </c>
      <c r="C24" s="3">
        <v>2061</v>
      </c>
      <c r="D24" s="2">
        <v>0.9</v>
      </c>
      <c r="E24" s="4">
        <v>1.4791666666666668E-2</v>
      </c>
      <c r="F24" s="2">
        <v>154</v>
      </c>
      <c r="G24" s="10">
        <v>105</v>
      </c>
      <c r="I24" s="41">
        <v>44128</v>
      </c>
      <c r="J24" s="42">
        <v>8156</v>
      </c>
      <c r="K24" s="42">
        <v>3.58</v>
      </c>
      <c r="L24" s="43">
        <v>108.5</v>
      </c>
    </row>
    <row r="25" spans="1:12" x14ac:dyDescent="0.25">
      <c r="A25" s="12">
        <v>44112</v>
      </c>
      <c r="B25" s="33">
        <v>2</v>
      </c>
      <c r="C25" s="3">
        <v>1722</v>
      </c>
      <c r="D25" s="2">
        <v>0.76</v>
      </c>
      <c r="E25" s="4">
        <v>1.1851851851851851E-2</v>
      </c>
      <c r="F25" s="2">
        <v>124</v>
      </c>
      <c r="G25" s="10">
        <v>104</v>
      </c>
      <c r="I25" s="41">
        <v>44129</v>
      </c>
      <c r="J25" s="42">
        <v>10884</v>
      </c>
      <c r="K25" s="42">
        <v>4.7799999999999994</v>
      </c>
      <c r="L25" s="43">
        <v>111.5</v>
      </c>
    </row>
    <row r="26" spans="1:12" x14ac:dyDescent="0.25">
      <c r="A26" s="12">
        <v>44112</v>
      </c>
      <c r="B26" s="33">
        <v>3</v>
      </c>
      <c r="C26" s="3">
        <v>4169</v>
      </c>
      <c r="D26" s="2">
        <v>1.83</v>
      </c>
      <c r="E26" s="4">
        <v>2.8402777777777777E-2</v>
      </c>
      <c r="F26" s="2">
        <v>320</v>
      </c>
      <c r="G26" s="10">
        <v>112</v>
      </c>
      <c r="I26" s="41">
        <v>44130</v>
      </c>
      <c r="J26" s="42">
        <v>7437</v>
      </c>
      <c r="K26" s="42">
        <v>3.25</v>
      </c>
      <c r="L26" s="43">
        <v>107.5</v>
      </c>
    </row>
    <row r="27" spans="1:12" x14ac:dyDescent="0.25">
      <c r="A27" s="12">
        <v>44112</v>
      </c>
      <c r="B27" s="33">
        <v>4</v>
      </c>
      <c r="C27" s="3">
        <v>1626</v>
      </c>
      <c r="D27" s="2">
        <v>0.71</v>
      </c>
      <c r="E27" s="4">
        <v>1.1562499999999998E-2</v>
      </c>
      <c r="F27" s="2">
        <v>132</v>
      </c>
      <c r="G27" s="10">
        <v>114</v>
      </c>
      <c r="I27" s="41">
        <v>44131</v>
      </c>
      <c r="J27" s="42">
        <v>8449</v>
      </c>
      <c r="K27" s="42">
        <v>3.69</v>
      </c>
      <c r="L27" s="43">
        <v>111</v>
      </c>
    </row>
    <row r="28" spans="1:12" x14ac:dyDescent="0.25">
      <c r="A28" s="12">
        <v>44112</v>
      </c>
      <c r="B28" s="33">
        <v>5</v>
      </c>
      <c r="C28" s="3">
        <v>3048</v>
      </c>
      <c r="D28" s="2">
        <v>1.17</v>
      </c>
      <c r="E28" s="4">
        <v>2.7777777777777776E-2</v>
      </c>
      <c r="F28" s="2">
        <v>429</v>
      </c>
      <c r="G28" s="10">
        <v>98</v>
      </c>
      <c r="I28" s="41">
        <v>44132</v>
      </c>
      <c r="J28" s="42">
        <v>7829</v>
      </c>
      <c r="K28" s="42">
        <v>3.44</v>
      </c>
      <c r="L28" s="43">
        <v>105</v>
      </c>
    </row>
    <row r="29" spans="1:12" x14ac:dyDescent="0.25">
      <c r="A29" s="12">
        <v>44113</v>
      </c>
      <c r="B29" s="33">
        <v>1</v>
      </c>
      <c r="C29" s="3">
        <v>1816</v>
      </c>
      <c r="D29" s="2">
        <v>0.8</v>
      </c>
      <c r="E29" s="4">
        <v>1.2870370370370372E-2</v>
      </c>
      <c r="F29" s="2">
        <v>144</v>
      </c>
      <c r="G29" s="10">
        <v>109</v>
      </c>
      <c r="I29" s="41">
        <v>44133</v>
      </c>
      <c r="J29" s="42">
        <v>9174</v>
      </c>
      <c r="K29" s="42">
        <v>4.0199999999999996</v>
      </c>
      <c r="L29" s="43">
        <v>108.75</v>
      </c>
    </row>
    <row r="30" spans="1:12" x14ac:dyDescent="0.25">
      <c r="A30" s="12">
        <v>44113</v>
      </c>
      <c r="B30" s="33">
        <v>2</v>
      </c>
      <c r="C30" s="3">
        <v>1661</v>
      </c>
      <c r="D30" s="2">
        <v>0.73</v>
      </c>
      <c r="E30" s="4">
        <v>1.1284722222222222E-2</v>
      </c>
      <c r="F30" s="2">
        <v>129</v>
      </c>
      <c r="G30" s="10">
        <v>108</v>
      </c>
      <c r="I30" s="41" t="s">
        <v>26</v>
      </c>
      <c r="J30" s="42">
        <v>208853</v>
      </c>
      <c r="K30" s="42">
        <v>93.419999999999987</v>
      </c>
      <c r="L30" s="43">
        <v>108.16304347826087</v>
      </c>
    </row>
    <row r="31" spans="1:12" x14ac:dyDescent="0.25">
      <c r="A31" s="12">
        <v>44113</v>
      </c>
      <c r="B31" s="33">
        <v>3</v>
      </c>
      <c r="C31" s="3">
        <v>2656</v>
      </c>
      <c r="D31" s="2">
        <v>1.1599999999999999</v>
      </c>
      <c r="E31" s="4">
        <v>1.832175925925926E-2</v>
      </c>
      <c r="F31" s="2">
        <v>200</v>
      </c>
      <c r="G31" s="10">
        <v>108</v>
      </c>
    </row>
    <row r="32" spans="1:12" x14ac:dyDescent="0.25">
      <c r="A32" s="12">
        <v>44113</v>
      </c>
      <c r="B32" s="33">
        <v>4</v>
      </c>
      <c r="C32" s="3">
        <v>1663</v>
      </c>
      <c r="D32" s="2">
        <v>0.73</v>
      </c>
      <c r="E32" s="4">
        <v>1.1967592592592592E-2</v>
      </c>
      <c r="F32" s="2">
        <v>129</v>
      </c>
      <c r="G32" s="10">
        <v>110</v>
      </c>
    </row>
    <row r="33" spans="1:7" x14ac:dyDescent="0.25">
      <c r="A33" s="12">
        <v>44114</v>
      </c>
      <c r="B33" s="33">
        <v>1</v>
      </c>
      <c r="C33" s="3">
        <v>517</v>
      </c>
      <c r="D33" s="2">
        <v>2.2599999999999998</v>
      </c>
      <c r="E33" s="4">
        <v>3.3587962962962965E-2</v>
      </c>
      <c r="F33" s="2">
        <v>395</v>
      </c>
      <c r="G33" s="10">
        <v>111</v>
      </c>
    </row>
    <row r="34" spans="1:7" x14ac:dyDescent="0.25">
      <c r="A34" s="12">
        <v>44115</v>
      </c>
      <c r="B34" s="33">
        <v>1</v>
      </c>
      <c r="C34" s="3">
        <v>5397</v>
      </c>
      <c r="D34" s="2">
        <v>2.4</v>
      </c>
      <c r="E34" s="4">
        <v>3.667824074074074E-2</v>
      </c>
      <c r="F34" s="2">
        <v>411</v>
      </c>
      <c r="G34" s="10">
        <v>110</v>
      </c>
    </row>
    <row r="35" spans="1:7" x14ac:dyDescent="0.25">
      <c r="A35" s="12">
        <v>44117</v>
      </c>
      <c r="B35" s="33">
        <v>1</v>
      </c>
      <c r="C35" s="3">
        <v>1812</v>
      </c>
      <c r="D35" s="2">
        <v>0.79</v>
      </c>
      <c r="E35" s="4">
        <v>1.2789351851851852E-2</v>
      </c>
      <c r="F35" s="2">
        <v>132</v>
      </c>
      <c r="G35" s="10">
        <v>104</v>
      </c>
    </row>
    <row r="36" spans="1:7" x14ac:dyDescent="0.25">
      <c r="A36" s="12">
        <v>44117</v>
      </c>
      <c r="B36" s="33">
        <v>2</v>
      </c>
      <c r="C36" s="3">
        <v>1607</v>
      </c>
      <c r="D36" s="2">
        <v>0.7</v>
      </c>
      <c r="E36" s="4">
        <v>1.1412037037037038E-2</v>
      </c>
      <c r="F36" s="2">
        <v>122</v>
      </c>
      <c r="G36" s="10">
        <v>108</v>
      </c>
    </row>
    <row r="37" spans="1:7" x14ac:dyDescent="0.25">
      <c r="A37" s="12">
        <v>44117</v>
      </c>
      <c r="B37" s="33">
        <v>3</v>
      </c>
      <c r="C37" s="3">
        <v>2894</v>
      </c>
      <c r="D37" s="2">
        <v>1.26</v>
      </c>
      <c r="E37" s="4">
        <v>2.1203703703703707E-2</v>
      </c>
      <c r="F37" s="2">
        <v>238</v>
      </c>
      <c r="G37" s="10">
        <v>114</v>
      </c>
    </row>
    <row r="38" spans="1:7" x14ac:dyDescent="0.25">
      <c r="A38" s="12">
        <v>44117</v>
      </c>
      <c r="B38" s="33">
        <v>4</v>
      </c>
      <c r="C38" s="3">
        <v>1449</v>
      </c>
      <c r="D38" s="2">
        <v>0.63</v>
      </c>
      <c r="E38" s="4">
        <v>1.9641203703703706E-2</v>
      </c>
      <c r="F38" s="2">
        <v>132</v>
      </c>
      <c r="G38" s="10">
        <v>98</v>
      </c>
    </row>
    <row r="39" spans="1:7" x14ac:dyDescent="0.25">
      <c r="A39" s="12">
        <v>44118</v>
      </c>
      <c r="B39" s="33">
        <v>1</v>
      </c>
      <c r="C39" s="3">
        <v>1991</v>
      </c>
      <c r="D39" s="2">
        <v>0.87</v>
      </c>
      <c r="E39" s="4">
        <v>1.4780092592592595E-2</v>
      </c>
      <c r="F39" s="2">
        <v>150</v>
      </c>
      <c r="G39" s="10">
        <v>106</v>
      </c>
    </row>
    <row r="40" spans="1:7" x14ac:dyDescent="0.25">
      <c r="A40" s="12">
        <v>44118</v>
      </c>
      <c r="B40" s="33">
        <v>2</v>
      </c>
      <c r="C40" s="3">
        <v>1616</v>
      </c>
      <c r="D40" s="2">
        <v>0.71</v>
      </c>
      <c r="E40" s="4">
        <v>1.1782407407407406E-2</v>
      </c>
      <c r="F40" s="2">
        <v>119</v>
      </c>
      <c r="G40" s="10">
        <v>107</v>
      </c>
    </row>
    <row r="41" spans="1:7" x14ac:dyDescent="0.25">
      <c r="A41" s="12">
        <v>44118</v>
      </c>
      <c r="B41" s="33">
        <v>3</v>
      </c>
      <c r="C41" s="3">
        <v>2622</v>
      </c>
      <c r="D41" s="2">
        <v>1.1499999999999999</v>
      </c>
      <c r="E41" s="4">
        <v>1.9479166666666669E-2</v>
      </c>
      <c r="F41" s="2">
        <v>203</v>
      </c>
      <c r="G41" s="10">
        <v>107</v>
      </c>
    </row>
    <row r="42" spans="1:7" x14ac:dyDescent="0.25">
      <c r="A42" s="12">
        <v>44118</v>
      </c>
      <c r="B42" s="33">
        <v>4</v>
      </c>
      <c r="C42" s="3">
        <v>1475</v>
      </c>
      <c r="D42" s="2">
        <v>0.65</v>
      </c>
      <c r="E42" s="4">
        <v>1.045138888888889E-2</v>
      </c>
      <c r="F42" s="2">
        <v>112</v>
      </c>
      <c r="G42" s="10">
        <v>113</v>
      </c>
    </row>
    <row r="43" spans="1:7" x14ac:dyDescent="0.25">
      <c r="A43" s="12">
        <v>44119</v>
      </c>
      <c r="B43" s="33">
        <v>1</v>
      </c>
      <c r="C43" s="3">
        <v>2301</v>
      </c>
      <c r="D43" s="2">
        <v>1.01</v>
      </c>
      <c r="E43" s="4">
        <v>1.5590277777777778E-2</v>
      </c>
      <c r="F43" s="2">
        <v>173</v>
      </c>
      <c r="G43" s="10">
        <v>106</v>
      </c>
    </row>
    <row r="44" spans="1:7" x14ac:dyDescent="0.25">
      <c r="A44" s="12">
        <v>44119</v>
      </c>
      <c r="B44" s="33">
        <v>2</v>
      </c>
      <c r="C44" s="3">
        <v>1673</v>
      </c>
      <c r="D44" s="2">
        <v>0.74</v>
      </c>
      <c r="E44" s="4">
        <v>1.1828703703703704E-2</v>
      </c>
      <c r="F44" s="2">
        <v>121</v>
      </c>
      <c r="G44" s="10">
        <v>103</v>
      </c>
    </row>
    <row r="45" spans="1:7" x14ac:dyDescent="0.25">
      <c r="A45" s="12">
        <v>44119</v>
      </c>
      <c r="B45" s="33">
        <v>3</v>
      </c>
      <c r="C45" s="3">
        <v>2692</v>
      </c>
      <c r="D45" s="2">
        <v>1.17</v>
      </c>
      <c r="E45" s="4">
        <v>1.9247685185185184E-2</v>
      </c>
      <c r="F45" s="2">
        <v>221</v>
      </c>
      <c r="G45" s="10">
        <v>112</v>
      </c>
    </row>
    <row r="46" spans="1:7" x14ac:dyDescent="0.25">
      <c r="A46" s="12">
        <v>44119</v>
      </c>
      <c r="B46" s="33">
        <v>4</v>
      </c>
      <c r="C46" s="3">
        <v>1683</v>
      </c>
      <c r="D46" s="2">
        <v>0.74</v>
      </c>
      <c r="E46" s="4">
        <v>1.1712962962962965E-2</v>
      </c>
      <c r="F46" s="2">
        <v>129</v>
      </c>
      <c r="G46" s="10">
        <v>112</v>
      </c>
    </row>
    <row r="47" spans="1:7" x14ac:dyDescent="0.25">
      <c r="A47" s="12">
        <v>44120</v>
      </c>
      <c r="B47" s="33">
        <v>1</v>
      </c>
      <c r="C47" s="3">
        <v>1902</v>
      </c>
      <c r="D47" s="2">
        <v>0.84</v>
      </c>
      <c r="E47" s="4">
        <v>1.3032407407407407E-2</v>
      </c>
      <c r="F47" s="2">
        <v>145</v>
      </c>
      <c r="G47" s="10">
        <v>107</v>
      </c>
    </row>
    <row r="48" spans="1:7" x14ac:dyDescent="0.25">
      <c r="A48" s="12">
        <v>44120</v>
      </c>
      <c r="B48" s="33">
        <v>2</v>
      </c>
      <c r="C48" s="3">
        <v>1636</v>
      </c>
      <c r="D48" s="2">
        <v>0.72</v>
      </c>
      <c r="E48" s="4">
        <v>1.1400462962962965E-2</v>
      </c>
      <c r="F48" s="2">
        <v>115</v>
      </c>
      <c r="G48" s="10">
        <v>104</v>
      </c>
    </row>
    <row r="49" spans="1:7" x14ac:dyDescent="0.25">
      <c r="A49" s="12">
        <v>44120</v>
      </c>
      <c r="B49" s="33">
        <v>3</v>
      </c>
      <c r="C49" s="3">
        <v>2659</v>
      </c>
      <c r="D49" s="2">
        <v>1.1599999999999999</v>
      </c>
      <c r="E49" s="4">
        <v>1.8634259259259257E-2</v>
      </c>
      <c r="F49" s="2">
        <v>211</v>
      </c>
      <c r="G49" s="10">
        <v>108</v>
      </c>
    </row>
    <row r="50" spans="1:7" x14ac:dyDescent="0.25">
      <c r="A50" s="12">
        <v>44120</v>
      </c>
      <c r="B50" s="33">
        <v>4</v>
      </c>
      <c r="C50" s="3">
        <v>1454</v>
      </c>
      <c r="D50" s="2">
        <v>0.64</v>
      </c>
      <c r="E50" s="4">
        <v>1.0590277777777777E-2</v>
      </c>
      <c r="F50" s="2">
        <v>116</v>
      </c>
      <c r="G50" s="10">
        <v>112</v>
      </c>
    </row>
    <row r="51" spans="1:7" x14ac:dyDescent="0.25">
      <c r="A51" s="12">
        <v>44121</v>
      </c>
      <c r="B51" s="33">
        <v>1</v>
      </c>
      <c r="C51" s="3">
        <v>5086</v>
      </c>
      <c r="D51" s="2">
        <v>2.25</v>
      </c>
      <c r="E51" s="4">
        <v>3.3125000000000002E-2</v>
      </c>
      <c r="F51" s="2">
        <v>388</v>
      </c>
      <c r="G51" s="10">
        <v>113</v>
      </c>
    </row>
    <row r="52" spans="1:7" x14ac:dyDescent="0.25">
      <c r="A52" s="12">
        <v>44122</v>
      </c>
      <c r="B52" s="33">
        <v>1</v>
      </c>
      <c r="C52" s="3">
        <v>2968</v>
      </c>
      <c r="D52" s="2">
        <v>1.3</v>
      </c>
      <c r="E52" s="4">
        <v>2.1203703703703707E-2</v>
      </c>
      <c r="F52" s="2">
        <v>214</v>
      </c>
      <c r="G52" s="10">
        <v>100</v>
      </c>
    </row>
    <row r="53" spans="1:7" x14ac:dyDescent="0.25">
      <c r="A53" s="12">
        <v>44122</v>
      </c>
      <c r="B53" s="33">
        <v>2</v>
      </c>
      <c r="C53" s="3">
        <v>5210</v>
      </c>
      <c r="D53" s="2">
        <v>2.2799999999999998</v>
      </c>
      <c r="E53" s="4">
        <v>3.4814814814814812E-2</v>
      </c>
      <c r="F53" s="2">
        <v>378</v>
      </c>
      <c r="G53" s="10">
        <v>105</v>
      </c>
    </row>
    <row r="54" spans="1:7" x14ac:dyDescent="0.25">
      <c r="A54" s="12">
        <v>44123</v>
      </c>
      <c r="B54" s="33">
        <v>1</v>
      </c>
      <c r="C54" s="3">
        <v>1811</v>
      </c>
      <c r="D54" s="2">
        <v>0.8</v>
      </c>
      <c r="E54" s="4">
        <v>1.2800925925925926E-2</v>
      </c>
      <c r="F54" s="2">
        <v>132</v>
      </c>
      <c r="G54" s="10">
        <v>106</v>
      </c>
    </row>
    <row r="55" spans="1:7" x14ac:dyDescent="0.25">
      <c r="A55" s="12">
        <v>44123</v>
      </c>
      <c r="B55" s="33">
        <v>2</v>
      </c>
      <c r="C55" s="3">
        <v>1600</v>
      </c>
      <c r="D55" s="2">
        <v>0.7</v>
      </c>
      <c r="E55" s="4">
        <v>1.1064814814814814E-2</v>
      </c>
      <c r="F55" s="2">
        <v>119</v>
      </c>
      <c r="G55" s="10">
        <v>104</v>
      </c>
    </row>
    <row r="56" spans="1:7" x14ac:dyDescent="0.25">
      <c r="A56" s="12">
        <v>44123</v>
      </c>
      <c r="B56" s="33">
        <v>3</v>
      </c>
      <c r="C56" s="3">
        <v>2617</v>
      </c>
      <c r="D56" s="2">
        <v>1.1499999999999999</v>
      </c>
      <c r="E56" s="4">
        <v>1.8819444444444448E-2</v>
      </c>
      <c r="F56" s="2">
        <v>205</v>
      </c>
      <c r="G56" s="10">
        <v>106</v>
      </c>
    </row>
    <row r="57" spans="1:7" x14ac:dyDescent="0.25">
      <c r="A57" s="12">
        <v>44123</v>
      </c>
      <c r="B57" s="33">
        <v>4</v>
      </c>
      <c r="C57" s="3">
        <v>1423</v>
      </c>
      <c r="D57" s="2">
        <v>0.62</v>
      </c>
      <c r="E57" s="4">
        <v>1.03125E-2</v>
      </c>
      <c r="F57" s="2">
        <v>114</v>
      </c>
      <c r="G57" s="10">
        <v>109</v>
      </c>
    </row>
    <row r="58" spans="1:7" x14ac:dyDescent="0.25">
      <c r="A58" s="12">
        <v>44124</v>
      </c>
      <c r="B58" s="33">
        <v>1</v>
      </c>
      <c r="C58" s="3">
        <v>2392</v>
      </c>
      <c r="D58" s="2">
        <v>1.04</v>
      </c>
      <c r="E58" s="4">
        <v>1.6863425925925928E-2</v>
      </c>
      <c r="F58" s="2">
        <v>183</v>
      </c>
      <c r="G58" s="10">
        <v>105</v>
      </c>
    </row>
    <row r="59" spans="1:7" x14ac:dyDescent="0.25">
      <c r="A59" s="12">
        <v>44124</v>
      </c>
      <c r="B59" s="33">
        <v>2</v>
      </c>
      <c r="C59" s="3">
        <v>1617</v>
      </c>
      <c r="D59" s="2">
        <v>0.71</v>
      </c>
      <c r="E59" s="4">
        <v>1.1284722222222222E-2</v>
      </c>
      <c r="F59" s="2">
        <v>119</v>
      </c>
      <c r="G59" s="10">
        <v>103</v>
      </c>
    </row>
    <row r="60" spans="1:7" x14ac:dyDescent="0.25">
      <c r="A60" s="12">
        <v>44124</v>
      </c>
      <c r="B60" s="33">
        <v>3</v>
      </c>
      <c r="C60" s="3">
        <v>2638</v>
      </c>
      <c r="D60" s="2">
        <v>1.1599999999999999</v>
      </c>
      <c r="E60" s="4">
        <v>1.9131944444444444E-2</v>
      </c>
      <c r="F60" s="2">
        <v>208</v>
      </c>
      <c r="G60" s="10">
        <v>104</v>
      </c>
    </row>
    <row r="61" spans="1:7" x14ac:dyDescent="0.25">
      <c r="A61" s="12">
        <v>44124</v>
      </c>
      <c r="B61" s="33">
        <v>4</v>
      </c>
      <c r="C61" s="3">
        <v>1421</v>
      </c>
      <c r="D61" s="2">
        <v>0.63</v>
      </c>
      <c r="E61" s="4">
        <v>1.0208333333333333E-2</v>
      </c>
      <c r="F61" s="2">
        <v>109</v>
      </c>
      <c r="G61" s="10">
        <v>107</v>
      </c>
    </row>
    <row r="62" spans="1:7" x14ac:dyDescent="0.25">
      <c r="A62" s="12">
        <v>44125</v>
      </c>
      <c r="B62" s="33">
        <v>1</v>
      </c>
      <c r="C62" s="3">
        <v>2846</v>
      </c>
      <c r="D62" s="2">
        <v>1.25</v>
      </c>
      <c r="E62" s="4">
        <v>1.982638888888889E-2</v>
      </c>
      <c r="F62" s="2">
        <v>212</v>
      </c>
      <c r="G62" s="10">
        <v>104</v>
      </c>
    </row>
    <row r="63" spans="1:7" x14ac:dyDescent="0.25">
      <c r="A63" s="12">
        <v>44125</v>
      </c>
      <c r="B63" s="33">
        <v>2</v>
      </c>
      <c r="C63" s="3">
        <v>1630</v>
      </c>
      <c r="D63" s="2">
        <v>0.71</v>
      </c>
      <c r="E63" s="4">
        <v>1.1504629629629629E-2</v>
      </c>
      <c r="F63" s="2">
        <v>123</v>
      </c>
      <c r="G63" s="10">
        <v>107</v>
      </c>
    </row>
    <row r="64" spans="1:7" x14ac:dyDescent="0.25">
      <c r="A64" s="12">
        <v>44125</v>
      </c>
      <c r="B64" s="33">
        <v>3</v>
      </c>
      <c r="C64" s="3">
        <v>2624</v>
      </c>
      <c r="D64" s="2">
        <v>1.1499999999999999</v>
      </c>
      <c r="E64" s="4">
        <v>1.9421296296296294E-2</v>
      </c>
      <c r="F64" s="2">
        <v>217</v>
      </c>
      <c r="G64" s="10">
        <v>109</v>
      </c>
    </row>
    <row r="65" spans="1:7" x14ac:dyDescent="0.25">
      <c r="A65" s="12">
        <v>44125</v>
      </c>
      <c r="B65" s="33">
        <v>4</v>
      </c>
      <c r="C65" s="3">
        <v>1654</v>
      </c>
      <c r="D65" s="2">
        <v>0.73</v>
      </c>
      <c r="E65" s="4">
        <v>1.1724537037037035E-2</v>
      </c>
      <c r="F65" s="2">
        <v>126</v>
      </c>
      <c r="G65" s="10">
        <v>109</v>
      </c>
    </row>
    <row r="66" spans="1:7" x14ac:dyDescent="0.25">
      <c r="A66" s="12">
        <v>44126</v>
      </c>
      <c r="B66" s="33">
        <v>1</v>
      </c>
      <c r="C66" s="3">
        <v>2976</v>
      </c>
      <c r="D66" s="2">
        <v>1.3</v>
      </c>
      <c r="E66" s="4">
        <v>2.0196759259259258E-2</v>
      </c>
      <c r="F66" s="2">
        <v>227</v>
      </c>
      <c r="G66" s="10">
        <v>107</v>
      </c>
    </row>
    <row r="67" spans="1:7" x14ac:dyDescent="0.25">
      <c r="A67" s="12">
        <v>44126</v>
      </c>
      <c r="B67" s="33">
        <v>2</v>
      </c>
      <c r="C67" s="3">
        <v>1631</v>
      </c>
      <c r="D67" s="2">
        <v>0.71</v>
      </c>
      <c r="E67" s="4">
        <v>1.1145833333333334E-2</v>
      </c>
      <c r="F67" s="2">
        <v>124</v>
      </c>
      <c r="G67" s="10">
        <v>108</v>
      </c>
    </row>
    <row r="68" spans="1:7" x14ac:dyDescent="0.25">
      <c r="A68" s="12">
        <v>44126</v>
      </c>
      <c r="B68" s="33">
        <v>3</v>
      </c>
      <c r="C68" s="3">
        <v>3079</v>
      </c>
      <c r="D68" s="2">
        <v>1.34</v>
      </c>
      <c r="E68" s="4">
        <v>2.1180555555555553E-2</v>
      </c>
      <c r="F68" s="2">
        <v>234</v>
      </c>
      <c r="G68" s="10">
        <v>106</v>
      </c>
    </row>
    <row r="69" spans="1:7" x14ac:dyDescent="0.25">
      <c r="A69" s="12">
        <v>44126</v>
      </c>
      <c r="B69" s="33">
        <v>4</v>
      </c>
      <c r="C69" s="3">
        <v>1435</v>
      </c>
      <c r="D69" s="2">
        <v>0.63</v>
      </c>
      <c r="E69" s="4">
        <v>1.0358796296296295E-2</v>
      </c>
      <c r="F69" s="2">
        <v>110</v>
      </c>
      <c r="G69" s="10">
        <v>104</v>
      </c>
    </row>
    <row r="70" spans="1:7" x14ac:dyDescent="0.25">
      <c r="A70" s="12">
        <v>44127</v>
      </c>
      <c r="B70" s="33">
        <v>1</v>
      </c>
      <c r="C70" s="3">
        <v>1877</v>
      </c>
      <c r="D70" s="2">
        <v>0.82</v>
      </c>
      <c r="E70" s="4">
        <v>1.2673611111111109E-2</v>
      </c>
      <c r="F70" s="2">
        <v>139</v>
      </c>
      <c r="G70" s="10">
        <v>104</v>
      </c>
    </row>
    <row r="71" spans="1:7" x14ac:dyDescent="0.25">
      <c r="A71" s="12">
        <v>44127</v>
      </c>
      <c r="B71" s="33">
        <v>2</v>
      </c>
      <c r="C71" s="3">
        <v>1628</v>
      </c>
      <c r="D71" s="2">
        <v>0.71</v>
      </c>
      <c r="E71" s="4">
        <v>1.1111111111111112E-2</v>
      </c>
      <c r="F71" s="2">
        <v>116</v>
      </c>
      <c r="G71" s="10">
        <v>102</v>
      </c>
    </row>
    <row r="72" spans="1:7" x14ac:dyDescent="0.25">
      <c r="A72" s="12">
        <v>44127</v>
      </c>
      <c r="B72" s="33">
        <v>3</v>
      </c>
      <c r="C72" s="3">
        <v>2644</v>
      </c>
      <c r="D72" s="2">
        <v>1.1499999999999999</v>
      </c>
      <c r="E72" s="4">
        <v>1.8402777777777778E-2</v>
      </c>
      <c r="F72" s="2">
        <v>201</v>
      </c>
      <c r="G72" s="10">
        <v>106</v>
      </c>
    </row>
    <row r="73" spans="1:7" x14ac:dyDescent="0.25">
      <c r="A73" s="12">
        <v>44127</v>
      </c>
      <c r="B73" s="33">
        <v>4</v>
      </c>
      <c r="C73" s="3">
        <v>1609</v>
      </c>
      <c r="D73" s="2">
        <v>0.7</v>
      </c>
      <c r="E73" s="4">
        <v>1.1284722222222222E-2</v>
      </c>
      <c r="F73" s="2">
        <v>116</v>
      </c>
      <c r="G73" s="10">
        <v>105</v>
      </c>
    </row>
    <row r="74" spans="1:7" x14ac:dyDescent="0.25">
      <c r="A74" s="12">
        <v>44128</v>
      </c>
      <c r="B74" s="33">
        <v>1</v>
      </c>
      <c r="C74" s="3">
        <v>5048</v>
      </c>
      <c r="D74" s="2">
        <v>2.2200000000000002</v>
      </c>
      <c r="E74" s="4">
        <v>3.2685185185185185E-2</v>
      </c>
      <c r="F74" s="2">
        <v>378</v>
      </c>
      <c r="G74" s="10">
        <v>110</v>
      </c>
    </row>
    <row r="75" spans="1:7" x14ac:dyDescent="0.25">
      <c r="A75" s="12">
        <v>44128</v>
      </c>
      <c r="B75" s="33">
        <v>2</v>
      </c>
      <c r="C75" s="3">
        <v>3108</v>
      </c>
      <c r="D75" s="2">
        <v>1.36</v>
      </c>
      <c r="E75" s="4">
        <v>2.0648148148148148E-2</v>
      </c>
      <c r="F75" s="2">
        <v>235</v>
      </c>
      <c r="G75" s="10">
        <v>107</v>
      </c>
    </row>
    <row r="76" spans="1:7" x14ac:dyDescent="0.25">
      <c r="A76" s="12">
        <v>44129</v>
      </c>
      <c r="B76" s="33">
        <v>1</v>
      </c>
      <c r="C76" s="3">
        <v>5461</v>
      </c>
      <c r="D76" s="2">
        <v>2.4</v>
      </c>
      <c r="E76" s="4">
        <v>3.5069444444444445E-2</v>
      </c>
      <c r="F76" s="2">
        <v>411</v>
      </c>
      <c r="G76" s="10">
        <v>110</v>
      </c>
    </row>
    <row r="77" spans="1:7" x14ac:dyDescent="0.25">
      <c r="A77" s="12">
        <v>44129</v>
      </c>
      <c r="B77" s="33">
        <v>2</v>
      </c>
      <c r="C77" s="3">
        <v>5423</v>
      </c>
      <c r="D77" s="2">
        <v>2.38</v>
      </c>
      <c r="E77" s="4">
        <v>3.5370370370370365E-2</v>
      </c>
      <c r="F77" s="2">
        <v>418</v>
      </c>
      <c r="G77" s="10">
        <v>113</v>
      </c>
    </row>
    <row r="78" spans="1:7" x14ac:dyDescent="0.25">
      <c r="A78" s="12">
        <v>44130</v>
      </c>
      <c r="B78" s="33">
        <v>1</v>
      </c>
      <c r="C78" s="3">
        <v>1855</v>
      </c>
      <c r="D78" s="2">
        <v>0.81</v>
      </c>
      <c r="E78" s="4">
        <v>1.3402777777777777E-2</v>
      </c>
      <c r="F78" s="2">
        <v>143</v>
      </c>
      <c r="G78" s="10">
        <v>106</v>
      </c>
    </row>
    <row r="79" spans="1:7" x14ac:dyDescent="0.25">
      <c r="A79" s="12">
        <v>44130</v>
      </c>
      <c r="B79" s="33">
        <v>2</v>
      </c>
      <c r="C79" s="3">
        <v>1620</v>
      </c>
      <c r="D79" s="2">
        <v>0.72</v>
      </c>
      <c r="E79" s="4">
        <v>1.1168981481481481E-2</v>
      </c>
      <c r="F79" s="2">
        <v>115</v>
      </c>
      <c r="G79" s="10">
        <v>106</v>
      </c>
    </row>
    <row r="80" spans="1:7" x14ac:dyDescent="0.25">
      <c r="A80" s="12">
        <v>44130</v>
      </c>
      <c r="B80" s="33">
        <v>3</v>
      </c>
      <c r="C80" s="3">
        <v>2536</v>
      </c>
      <c r="D80" s="2">
        <v>1.1000000000000001</v>
      </c>
      <c r="E80" s="4">
        <v>1.8622685185185183E-2</v>
      </c>
      <c r="F80" s="2">
        <v>209</v>
      </c>
      <c r="G80" s="10">
        <v>112</v>
      </c>
    </row>
    <row r="81" spans="1:7" x14ac:dyDescent="0.25">
      <c r="A81" s="12">
        <v>44130</v>
      </c>
      <c r="B81" s="33">
        <v>4</v>
      </c>
      <c r="C81" s="3">
        <v>1426</v>
      </c>
      <c r="D81" s="2">
        <v>0.62</v>
      </c>
      <c r="E81" s="4">
        <v>1.0416666666666666E-2</v>
      </c>
      <c r="F81" s="2">
        <v>109</v>
      </c>
      <c r="G81" s="10">
        <v>106</v>
      </c>
    </row>
    <row r="82" spans="1:7" x14ac:dyDescent="0.25">
      <c r="A82" s="12">
        <v>44131</v>
      </c>
      <c r="B82" s="33">
        <v>1</v>
      </c>
      <c r="C82" s="3">
        <v>2704</v>
      </c>
      <c r="D82" s="2">
        <v>1.18</v>
      </c>
      <c r="E82" s="4">
        <v>1.9398148148148147E-2</v>
      </c>
      <c r="F82" s="2">
        <v>211</v>
      </c>
      <c r="G82" s="10">
        <v>109</v>
      </c>
    </row>
    <row r="83" spans="1:7" x14ac:dyDescent="0.25">
      <c r="A83" s="12">
        <v>44131</v>
      </c>
      <c r="B83" s="33">
        <v>2</v>
      </c>
      <c r="C83" s="3">
        <v>1792</v>
      </c>
      <c r="D83" s="2">
        <v>0.78</v>
      </c>
      <c r="E83" s="4">
        <v>1.2106481481481482E-2</v>
      </c>
      <c r="F83" s="2">
        <v>150</v>
      </c>
      <c r="G83" s="10">
        <v>116</v>
      </c>
    </row>
    <row r="84" spans="1:7" x14ac:dyDescent="0.25">
      <c r="A84" s="12">
        <v>44131</v>
      </c>
      <c r="B84" s="33">
        <v>3</v>
      </c>
      <c r="C84" s="3">
        <v>2547</v>
      </c>
      <c r="D84" s="2">
        <v>1.1200000000000001</v>
      </c>
      <c r="E84" s="4">
        <v>1.7997685185185186E-2</v>
      </c>
      <c r="F84" s="2">
        <v>207</v>
      </c>
      <c r="G84" s="10">
        <v>112</v>
      </c>
    </row>
    <row r="85" spans="1:7" x14ac:dyDescent="0.25">
      <c r="A85" s="12">
        <v>44131</v>
      </c>
      <c r="B85" s="33">
        <v>4</v>
      </c>
      <c r="C85" s="3">
        <v>1406</v>
      </c>
      <c r="D85" s="2">
        <v>0.61</v>
      </c>
      <c r="E85" s="4">
        <v>1.0173611111111111E-2</v>
      </c>
      <c r="F85" s="2">
        <v>106</v>
      </c>
      <c r="G85" s="10">
        <v>107</v>
      </c>
    </row>
    <row r="86" spans="1:7" x14ac:dyDescent="0.25">
      <c r="A86" s="12">
        <v>44132</v>
      </c>
      <c r="B86" s="33">
        <v>1</v>
      </c>
      <c r="C86" s="3">
        <v>2212</v>
      </c>
      <c r="D86" s="2">
        <v>0.97</v>
      </c>
      <c r="E86" s="4">
        <v>1.4884259259259259E-2</v>
      </c>
      <c r="F86" s="2">
        <v>161</v>
      </c>
      <c r="G86" s="10">
        <v>106</v>
      </c>
    </row>
    <row r="87" spans="1:7" x14ac:dyDescent="0.25">
      <c r="A87" s="12">
        <v>44132</v>
      </c>
      <c r="B87" s="33">
        <v>2</v>
      </c>
      <c r="C87" s="3">
        <v>1624</v>
      </c>
      <c r="D87" s="2">
        <v>0.72</v>
      </c>
      <c r="E87" s="4">
        <v>1.105324074074074E-2</v>
      </c>
      <c r="F87" s="2">
        <v>119</v>
      </c>
      <c r="G87" s="10">
        <v>105</v>
      </c>
    </row>
    <row r="88" spans="1:7" x14ac:dyDescent="0.25">
      <c r="A88" s="12">
        <v>44132</v>
      </c>
      <c r="B88" s="33">
        <v>3</v>
      </c>
      <c r="C88" s="3">
        <v>2514</v>
      </c>
      <c r="D88" s="2">
        <v>1.1000000000000001</v>
      </c>
      <c r="E88" s="4">
        <v>1.7430555555555557E-2</v>
      </c>
      <c r="F88" s="2">
        <v>181</v>
      </c>
      <c r="G88" s="10">
        <v>103</v>
      </c>
    </row>
    <row r="89" spans="1:7" x14ac:dyDescent="0.25">
      <c r="A89" s="12">
        <v>44132</v>
      </c>
      <c r="B89" s="33">
        <v>4</v>
      </c>
      <c r="C89" s="3">
        <v>1479</v>
      </c>
      <c r="D89" s="2">
        <v>0.65</v>
      </c>
      <c r="E89" s="4">
        <v>1.037037037037037E-2</v>
      </c>
      <c r="F89" s="2">
        <v>106</v>
      </c>
      <c r="G89" s="10">
        <v>106</v>
      </c>
    </row>
    <row r="90" spans="1:7" x14ac:dyDescent="0.25">
      <c r="A90" s="12">
        <v>44133</v>
      </c>
      <c r="B90" s="33">
        <v>1</v>
      </c>
      <c r="C90" s="3">
        <v>1849</v>
      </c>
      <c r="D90" s="2">
        <v>0.81</v>
      </c>
      <c r="E90" s="4">
        <v>1.2662037037037039E-2</v>
      </c>
      <c r="F90" s="2">
        <v>139</v>
      </c>
      <c r="G90" s="10">
        <v>105</v>
      </c>
    </row>
    <row r="91" spans="1:7" x14ac:dyDescent="0.25">
      <c r="A91" s="12">
        <v>44133</v>
      </c>
      <c r="B91" s="33">
        <v>2</v>
      </c>
      <c r="C91" s="3">
        <v>1606</v>
      </c>
      <c r="D91" s="2">
        <v>0.7</v>
      </c>
      <c r="E91" s="4">
        <v>1.0972222222222223E-2</v>
      </c>
      <c r="F91" s="2">
        <v>122</v>
      </c>
      <c r="G91" s="10">
        <v>109</v>
      </c>
    </row>
    <row r="92" spans="1:7" x14ac:dyDescent="0.25">
      <c r="A92" s="12">
        <v>44133</v>
      </c>
      <c r="B92" s="33">
        <v>3</v>
      </c>
      <c r="C92" s="3">
        <v>4288</v>
      </c>
      <c r="D92" s="2">
        <v>1.88</v>
      </c>
      <c r="E92" s="4">
        <v>2.9814814814814811E-2</v>
      </c>
      <c r="F92" s="2">
        <v>349</v>
      </c>
      <c r="G92" s="10">
        <v>115</v>
      </c>
    </row>
    <row r="93" spans="1:7" x14ac:dyDescent="0.25">
      <c r="A93" s="12">
        <v>44133</v>
      </c>
      <c r="B93" s="33">
        <v>4</v>
      </c>
      <c r="C93" s="3">
        <v>1431</v>
      </c>
      <c r="D93" s="2">
        <v>0.63</v>
      </c>
      <c r="E93" s="4">
        <v>1.0439814814814813E-2</v>
      </c>
      <c r="F93" s="2">
        <v>103</v>
      </c>
      <c r="G93" s="10">
        <v>106</v>
      </c>
    </row>
  </sheetData>
  <sortState xmlns:xlrd2="http://schemas.microsoft.com/office/spreadsheetml/2017/richdata2" ref="A4:G23">
    <sortCondition descending="1" ref="A4:A23"/>
  </sortState>
  <pageMargins left="0.7" right="0.7" top="0.75" bottom="0.75" header="0.3" footer="0.3"/>
  <pageSetup orientation="portrait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8BB3-5653-4631-9481-343B5F0CD166}">
  <dimension ref="A1:G9"/>
  <sheetViews>
    <sheetView workbookViewId="0">
      <pane ySplit="1" topLeftCell="A2" activePane="bottomLeft" state="frozen"/>
      <selection pane="bottomLeft" activeCell="D13" sqref="D13"/>
    </sheetView>
  </sheetViews>
  <sheetFormatPr defaultRowHeight="15" x14ac:dyDescent="0.25"/>
  <cols>
    <col min="1" max="1" width="10.42578125" bestFit="1" customWidth="1"/>
    <col min="2" max="2" width="10.5703125" bestFit="1" customWidth="1"/>
    <col min="3" max="3" width="6.5703125" bestFit="1" customWidth="1"/>
    <col min="4" max="4" width="9.7109375" bestFit="1" customWidth="1"/>
    <col min="5" max="5" width="4" bestFit="1" customWidth="1"/>
    <col min="6" max="6" width="5.28515625" bestFit="1" customWidth="1"/>
    <col min="7" max="7" width="17.28515625" bestFit="1" customWidth="1"/>
  </cols>
  <sheetData>
    <row r="1" spans="1:7" x14ac:dyDescent="0.25">
      <c r="A1" s="50" t="s">
        <v>0</v>
      </c>
      <c r="B1" s="50" t="s">
        <v>31</v>
      </c>
      <c r="C1" s="50" t="s">
        <v>32</v>
      </c>
      <c r="D1" s="50" t="s">
        <v>33</v>
      </c>
      <c r="E1" s="50" t="s">
        <v>34</v>
      </c>
      <c r="F1" s="50" t="s">
        <v>35</v>
      </c>
      <c r="G1" s="50" t="s">
        <v>36</v>
      </c>
    </row>
    <row r="2" spans="1:7" x14ac:dyDescent="0.25">
      <c r="A2" s="51">
        <v>44136</v>
      </c>
      <c r="B2" s="2"/>
      <c r="C2" s="2"/>
      <c r="D2" s="52">
        <f>(13*B2*C2)/5280</f>
        <v>0</v>
      </c>
      <c r="E2" s="53">
        <v>107</v>
      </c>
      <c r="F2" s="2">
        <v>115</v>
      </c>
      <c r="G2" s="54"/>
    </row>
    <row r="3" spans="1:7" x14ac:dyDescent="0.25">
      <c r="A3" s="51">
        <v>44137</v>
      </c>
      <c r="B3" s="2">
        <v>10.25</v>
      </c>
      <c r="C3" s="2">
        <v>81</v>
      </c>
      <c r="D3" s="52">
        <f>(13*B3*C3)/5280</f>
        <v>2.0441761363636362</v>
      </c>
      <c r="E3" s="53">
        <v>134</v>
      </c>
      <c r="F3" s="2">
        <v>99</v>
      </c>
      <c r="G3" s="54" t="s">
        <v>37</v>
      </c>
    </row>
    <row r="4" spans="1:7" x14ac:dyDescent="0.25">
      <c r="A4" s="51">
        <v>44139</v>
      </c>
      <c r="B4" s="2">
        <v>12.16</v>
      </c>
      <c r="C4" s="2">
        <v>83</v>
      </c>
      <c r="D4" s="52">
        <f t="shared" ref="D4:D5" si="0">(13*B4*C4)/5280</f>
        <v>2.4849696969696971</v>
      </c>
      <c r="E4" s="53">
        <v>129</v>
      </c>
      <c r="F4" s="2">
        <v>96</v>
      </c>
      <c r="G4" s="54" t="s">
        <v>38</v>
      </c>
    </row>
    <row r="5" spans="1:7" x14ac:dyDescent="0.25">
      <c r="A5" s="51">
        <v>44141</v>
      </c>
      <c r="B5" s="2">
        <v>14.08</v>
      </c>
      <c r="C5" s="2">
        <v>84</v>
      </c>
      <c r="D5" s="52">
        <f t="shared" si="0"/>
        <v>2.9119999999999999</v>
      </c>
      <c r="E5" s="53">
        <v>132</v>
      </c>
      <c r="F5" s="2">
        <v>125</v>
      </c>
      <c r="G5" s="54" t="s">
        <v>39</v>
      </c>
    </row>
    <row r="6" spans="1:7" x14ac:dyDescent="0.25">
      <c r="A6" s="2"/>
      <c r="B6" s="2"/>
      <c r="C6" s="2"/>
      <c r="D6" s="2"/>
      <c r="E6" s="2"/>
      <c r="F6" s="2"/>
      <c r="G6" s="2"/>
    </row>
    <row r="7" spans="1:7" x14ac:dyDescent="0.25">
      <c r="A7" s="2"/>
      <c r="B7" s="2"/>
      <c r="C7" s="2"/>
      <c r="D7" s="2"/>
      <c r="E7" s="2"/>
      <c r="F7" s="2"/>
      <c r="G7" s="2"/>
    </row>
    <row r="8" spans="1:7" x14ac:dyDescent="0.25">
      <c r="A8" s="2"/>
      <c r="B8" s="2"/>
      <c r="C8" s="2"/>
      <c r="D8" s="2"/>
      <c r="E8" s="2"/>
      <c r="F8" s="2"/>
      <c r="G8" s="2"/>
    </row>
    <row r="9" spans="1:7" x14ac:dyDescent="0.25">
      <c r="A9" s="2"/>
      <c r="B9" s="2"/>
      <c r="C9" s="2"/>
      <c r="D9" s="2"/>
      <c r="E9" s="2"/>
      <c r="F9" s="2"/>
      <c r="G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Walking</vt:lpstr>
      <vt:lpstr>BLANK</vt:lpstr>
      <vt:lpstr>Pivot</vt:lpstr>
      <vt:lpstr>Spinning</vt:lpstr>
    </vt:vector>
  </TitlesOfParts>
  <Company>Savings Bank of Mendocino County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Saranich</dc:creator>
  <cp:lastModifiedBy>Kevin Saranich</cp:lastModifiedBy>
  <cp:lastPrinted>2020-09-23T20:10:44Z</cp:lastPrinted>
  <dcterms:created xsi:type="dcterms:W3CDTF">2020-09-22T15:55:18Z</dcterms:created>
  <dcterms:modified xsi:type="dcterms:W3CDTF">2020-11-06T17:31:53Z</dcterms:modified>
</cp:coreProperties>
</file>